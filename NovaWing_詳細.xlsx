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motoKou\Documents\GitHub\NovaWing\"/>
    </mc:Choice>
  </mc:AlternateContent>
  <xr:revisionPtr revIDLastSave="0" documentId="13_ncr:1_{45BF3E38-704E-475F-8B13-3816A6F61285}" xr6:coauthVersionLast="47" xr6:coauthVersionMax="47" xr10:uidLastSave="{00000000-0000-0000-0000-000000000000}"/>
  <bookViews>
    <workbookView xWindow="-120" yWindow="-120" windowWidth="29040" windowHeight="15720" firstSheet="1" activeTab="1" xr2:uid="{946F3D71-B59E-44D5-AA40-06508C30C8E9}"/>
  </bookViews>
  <sheets>
    <sheet name="クラス図" sheetId="1" r:id="rId1"/>
    <sheet name="コスト表" sheetId="2" r:id="rId2"/>
    <sheet name="カレンダー" sheetId="3" r:id="rId3"/>
    <sheet name="完成に向けて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6" i="2" l="1"/>
  <c r="G104" i="2"/>
  <c r="G102" i="2"/>
  <c r="G101" i="2"/>
  <c r="G95" i="2"/>
  <c r="G92" i="2"/>
  <c r="G86" i="2"/>
  <c r="G85" i="2"/>
  <c r="G81" i="2"/>
  <c r="G80" i="2"/>
  <c r="G73" i="2"/>
  <c r="G72" i="2"/>
  <c r="G71" i="2"/>
  <c r="G70" i="2"/>
  <c r="G69" i="2"/>
  <c r="G36" i="2"/>
  <c r="G19" i="2"/>
  <c r="G10" i="2"/>
  <c r="G6" i="2"/>
  <c r="G5" i="2"/>
  <c r="K10" i="2"/>
  <c r="K9" i="2"/>
  <c r="K8" i="2"/>
  <c r="K11" i="2"/>
  <c r="L11" i="2" s="1"/>
  <c r="G98" i="2"/>
  <c r="G99" i="2"/>
  <c r="G91" i="2"/>
  <c r="G94" i="2"/>
  <c r="G8" i="2"/>
  <c r="G90" i="2"/>
  <c r="G9" i="2"/>
  <c r="G78" i="2"/>
  <c r="G88" i="2"/>
  <c r="G89" i="2"/>
  <c r="G75" i="2"/>
  <c r="J17" i="2"/>
  <c r="J15" i="2"/>
  <c r="G17" i="2"/>
  <c r="G18" i="2"/>
  <c r="G21" i="2"/>
  <c r="G22" i="2"/>
  <c r="G23" i="2"/>
  <c r="G24" i="2"/>
  <c r="G26" i="2"/>
  <c r="G27" i="2"/>
  <c r="G29" i="2"/>
  <c r="G30" i="2"/>
  <c r="G32" i="2"/>
  <c r="G33" i="2"/>
  <c r="G34" i="2"/>
  <c r="G35" i="2"/>
  <c r="G38" i="2"/>
  <c r="G39" i="2"/>
  <c r="G40" i="2"/>
  <c r="G41" i="2"/>
  <c r="G43" i="2"/>
  <c r="G44" i="2"/>
  <c r="G45" i="2"/>
  <c r="G46" i="2"/>
  <c r="G47" i="2"/>
  <c r="G49" i="2"/>
  <c r="G50" i="2"/>
  <c r="G51" i="2"/>
  <c r="G53" i="2"/>
  <c r="G54" i="2"/>
  <c r="G55" i="2"/>
  <c r="G56" i="2"/>
  <c r="G58" i="2"/>
  <c r="G59" i="2"/>
  <c r="G60" i="2"/>
  <c r="G62" i="2"/>
  <c r="G63" i="2"/>
  <c r="G64" i="2"/>
  <c r="G65" i="2"/>
  <c r="G66" i="2"/>
  <c r="G67" i="2"/>
  <c r="G68" i="2"/>
  <c r="G76" i="2"/>
  <c r="G77" i="2"/>
  <c r="G79" i="2"/>
  <c r="G83" i="2"/>
  <c r="G84" i="2"/>
  <c r="G12" i="2"/>
  <c r="G13" i="2"/>
  <c r="G15" i="2"/>
  <c r="G4" i="2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K12" i="2" l="1"/>
  <c r="L10" i="2"/>
  <c r="L8" i="2"/>
  <c r="L9" i="2"/>
  <c r="K17" i="2"/>
  <c r="K15" i="2"/>
  <c r="L12" i="2" l="1"/>
  <c r="M15" i="2" s="1"/>
  <c r="L15" i="2"/>
</calcChain>
</file>

<file path=xl/sharedStrings.xml><?xml version="1.0" encoding="utf-8"?>
<sst xmlns="http://schemas.openxmlformats.org/spreadsheetml/2006/main" count="378" uniqueCount="154">
  <si>
    <t>クラス設計</t>
    <rPh sb="3" eb="5">
      <t>セッケイ</t>
    </rPh>
    <phoneticPr fontId="1"/>
  </si>
  <si>
    <t>1コスト:1時間</t>
    <rPh sb="6" eb="8">
      <t>ジカン</t>
    </rPh>
    <phoneticPr fontId="1"/>
  </si>
  <si>
    <t>概要</t>
    <rPh sb="0" eb="2">
      <t>ガイヨウ0</t>
    </rPh>
    <phoneticPr fontId="1"/>
  </si>
  <si>
    <t>見積コスト</t>
    <rPh sb="0" eb="2">
      <t>ミツモリ0</t>
    </rPh>
    <phoneticPr fontId="1"/>
  </si>
  <si>
    <t>実コスト</t>
    <rPh sb="0" eb="1">
      <t>ジツ0</t>
    </rPh>
    <phoneticPr fontId="1"/>
  </si>
  <si>
    <t>優先度</t>
    <rPh sb="0" eb="3">
      <t>ユウセンド0</t>
    </rPh>
    <phoneticPr fontId="1"/>
  </si>
  <si>
    <t>バージョン</t>
  </si>
  <si>
    <t>ステータス</t>
  </si>
  <si>
    <t>備考</t>
    <rPh sb="0" eb="2">
      <t>ビコウ0</t>
    </rPh>
    <phoneticPr fontId="1"/>
  </si>
  <si>
    <t>プレイヤー</t>
    <phoneticPr fontId="1"/>
  </si>
  <si>
    <t>未完了</t>
  </si>
  <si>
    <t>S</t>
    <phoneticPr fontId="1"/>
  </si>
  <si>
    <t>プロト</t>
    <phoneticPr fontId="1"/>
  </si>
  <si>
    <t>バージョン</t>
    <phoneticPr fontId="1"/>
  </si>
  <si>
    <t>全コスト</t>
    <rPh sb="0" eb="1">
      <t>ゼン</t>
    </rPh>
    <phoneticPr fontId="1"/>
  </si>
  <si>
    <t>残コスト</t>
    <rPh sb="0" eb="1">
      <t>ザン</t>
    </rPh>
    <phoneticPr fontId="1"/>
  </si>
  <si>
    <t>アルファ</t>
    <phoneticPr fontId="1"/>
  </si>
  <si>
    <t>ベータ</t>
    <phoneticPr fontId="1"/>
  </si>
  <si>
    <t>岩</t>
    <rPh sb="0" eb="1">
      <t>イワ</t>
    </rPh>
    <phoneticPr fontId="1"/>
  </si>
  <si>
    <t>マスター</t>
    <phoneticPr fontId="1"/>
  </si>
  <si>
    <t>合計コスト</t>
    <rPh sb="0" eb="2">
      <t>ゴウケイ</t>
    </rPh>
    <phoneticPr fontId="1"/>
  </si>
  <si>
    <t>当たり判定</t>
    <rPh sb="0" eb="1">
      <t>ア</t>
    </rPh>
    <rPh sb="3" eb="5">
      <t>ハンテイ</t>
    </rPh>
    <phoneticPr fontId="1"/>
  </si>
  <si>
    <t>開始日</t>
    <rPh sb="0" eb="3">
      <t>カイシビ</t>
    </rPh>
    <phoneticPr fontId="1"/>
  </si>
  <si>
    <t>全体日数</t>
    <rPh sb="0" eb="4">
      <t>ゼンタイニッスウ</t>
    </rPh>
    <phoneticPr fontId="1"/>
  </si>
  <si>
    <t>1日に必要な消費コスト</t>
    <rPh sb="1" eb="2">
      <t>ニチ</t>
    </rPh>
    <rPh sb="3" eb="5">
      <t>ヒツヨウ</t>
    </rPh>
    <rPh sb="6" eb="8">
      <t>ショウヒ</t>
    </rPh>
    <phoneticPr fontId="1"/>
  </si>
  <si>
    <t>現在の1日の平均の消費コスト</t>
  </si>
  <si>
    <t>アルファ</t>
  </si>
  <si>
    <t>終了日</t>
    <rPh sb="0" eb="3">
      <t>シュウリョウビ</t>
    </rPh>
    <phoneticPr fontId="1"/>
  </si>
  <si>
    <t>残り日数</t>
    <rPh sb="0" eb="1">
      <t>ノコ</t>
    </rPh>
    <rPh sb="2" eb="4">
      <t>ニッスウ</t>
    </rPh>
    <phoneticPr fontId="1"/>
  </si>
  <si>
    <t>S</t>
  </si>
  <si>
    <t>シーン</t>
    <phoneticPr fontId="1"/>
  </si>
  <si>
    <t>　ータイトルシーン</t>
    <phoneticPr fontId="1"/>
  </si>
  <si>
    <t>　ーゲームシーン</t>
    <phoneticPr fontId="1"/>
  </si>
  <si>
    <t>　ーリザルトシーン</t>
    <phoneticPr fontId="1"/>
  </si>
  <si>
    <t>ゲームループ</t>
    <phoneticPr fontId="1"/>
  </si>
  <si>
    <t>BGM</t>
    <phoneticPr fontId="1"/>
  </si>
  <si>
    <t>　ーボス戦</t>
    <rPh sb="4" eb="5">
      <t>セン</t>
    </rPh>
    <phoneticPr fontId="1"/>
  </si>
  <si>
    <t>SE</t>
    <phoneticPr fontId="1"/>
  </si>
  <si>
    <t>UI</t>
    <phoneticPr fontId="1"/>
  </si>
  <si>
    <t>シェーダ</t>
    <phoneticPr fontId="1"/>
  </si>
  <si>
    <t>ステージ</t>
    <phoneticPr fontId="1"/>
  </si>
  <si>
    <t>エフェクト</t>
  </si>
  <si>
    <t>音</t>
    <rPh sb="0" eb="1">
      <t>オト</t>
    </rPh>
    <phoneticPr fontId="1"/>
  </si>
  <si>
    <t>ステータス</t>
    <phoneticPr fontId="1"/>
  </si>
  <si>
    <t>内容</t>
    <rPh sb="0" eb="2">
      <t>ナイヨウ</t>
    </rPh>
    <phoneticPr fontId="1"/>
  </si>
  <si>
    <t>　ー横回転</t>
    <rPh sb="2" eb="5">
      <t>ヨコカイテン</t>
    </rPh>
    <phoneticPr fontId="1"/>
  </si>
  <si>
    <t>弾</t>
    <rPh sb="0" eb="1">
      <t>タマ</t>
    </rPh>
    <phoneticPr fontId="1"/>
  </si>
  <si>
    <t>　ーチャージショット着弾時爆発</t>
    <rPh sb="10" eb="13">
      <t>チャクダンジ</t>
    </rPh>
    <rPh sb="13" eb="15">
      <t>バクハツ</t>
    </rPh>
    <phoneticPr fontId="1"/>
  </si>
  <si>
    <t>　ー軌跡をもっと伸ばす</t>
    <rPh sb="2" eb="4">
      <t>キセキ</t>
    </rPh>
    <rPh sb="8" eb="9">
      <t>ノ</t>
    </rPh>
    <phoneticPr fontId="1"/>
  </si>
  <si>
    <t>　ーチャージショット着弾時破壊</t>
    <rPh sb="10" eb="12">
      <t>チャクダン</t>
    </rPh>
    <rPh sb="12" eb="13">
      <t>ジ</t>
    </rPh>
    <rPh sb="13" eb="15">
      <t>ハカイ</t>
    </rPh>
    <phoneticPr fontId="1"/>
  </si>
  <si>
    <t>　ーチャージショットと岩</t>
    <rPh sb="11" eb="12">
      <t>イワ</t>
    </rPh>
    <phoneticPr fontId="1"/>
  </si>
  <si>
    <t>　ーかくかく移動</t>
    <rPh sb="6" eb="8">
      <t>イドウ</t>
    </rPh>
    <phoneticPr fontId="1"/>
  </si>
  <si>
    <t>　ー回転弾</t>
    <rPh sb="2" eb="4">
      <t>カイテン</t>
    </rPh>
    <rPh sb="4" eb="5">
      <t>タマ</t>
    </rPh>
    <phoneticPr fontId="1"/>
  </si>
  <si>
    <t>　ー死亡</t>
    <rPh sb="2" eb="4">
      <t>シボウ</t>
    </rPh>
    <phoneticPr fontId="1"/>
  </si>
  <si>
    <t>　ー逃げる</t>
    <rPh sb="2" eb="3">
      <t>ニ</t>
    </rPh>
    <phoneticPr fontId="1"/>
  </si>
  <si>
    <t>　ー弾</t>
    <rPh sb="2" eb="3">
      <t>タマ</t>
    </rPh>
    <phoneticPr fontId="1"/>
  </si>
  <si>
    <t>突進する敵</t>
    <rPh sb="0" eb="2">
      <t>トッシン</t>
    </rPh>
    <rPh sb="4" eb="5">
      <t>テキ</t>
    </rPh>
    <phoneticPr fontId="1"/>
  </si>
  <si>
    <t>　ープレイヤーに向かって移動</t>
    <rPh sb="8" eb="9">
      <t>ム</t>
    </rPh>
    <rPh sb="12" eb="14">
      <t>イドウ</t>
    </rPh>
    <phoneticPr fontId="1"/>
  </si>
  <si>
    <t>未定</t>
    <rPh sb="0" eb="2">
      <t>ミテイ</t>
    </rPh>
    <phoneticPr fontId="1"/>
  </si>
  <si>
    <t>ボス(仕様未定)</t>
    <rPh sb="3" eb="7">
      <t>シヨウミテイ</t>
    </rPh>
    <phoneticPr fontId="1"/>
  </si>
  <si>
    <t>　ータイトル→ステージセレクト</t>
    <phoneticPr fontId="1"/>
  </si>
  <si>
    <t>　ーステージセレクト→ステージ1</t>
    <phoneticPr fontId="1"/>
  </si>
  <si>
    <t>　ーステージセレクト→ステージ2</t>
    <phoneticPr fontId="1"/>
  </si>
  <si>
    <t>　ーステージセレクト</t>
    <phoneticPr fontId="1"/>
  </si>
  <si>
    <t>　ー海のリアル化</t>
    <rPh sb="2" eb="3">
      <t>ウミ</t>
    </rPh>
    <rPh sb="7" eb="8">
      <t>カ</t>
    </rPh>
    <phoneticPr fontId="1"/>
  </si>
  <si>
    <t>　ーブースト中の集中線</t>
    <rPh sb="6" eb="7">
      <t>チュウ</t>
    </rPh>
    <rPh sb="8" eb="11">
      <t>シュウチュウセン</t>
    </rPh>
    <phoneticPr fontId="1"/>
  </si>
  <si>
    <t>　ーカメラレンズの水滴</t>
    <rPh sb="9" eb="11">
      <t>スイテキ</t>
    </rPh>
    <phoneticPr fontId="1"/>
  </si>
  <si>
    <t>　ーチュートリアルシーン</t>
    <phoneticPr fontId="1"/>
  </si>
  <si>
    <t>テキスト(ヒント)</t>
    <phoneticPr fontId="1"/>
  </si>
  <si>
    <t>　ープレイヤー背後に敵</t>
    <rPh sb="7" eb="9">
      <t>ハイゴ</t>
    </rPh>
    <rPh sb="10" eb="11">
      <t>テキ</t>
    </rPh>
    <phoneticPr fontId="1"/>
  </si>
  <si>
    <t>　ーブレーキさせる</t>
    <phoneticPr fontId="1"/>
  </si>
  <si>
    <t>　ープレイヤーHP低下</t>
    <rPh sb="9" eb="11">
      <t>テイカ</t>
    </rPh>
    <phoneticPr fontId="1"/>
  </si>
  <si>
    <t>　ー敵位置表示</t>
    <rPh sb="2" eb="5">
      <t>テキイチ</t>
    </rPh>
    <rPh sb="5" eb="7">
      <t>ヒョウジ</t>
    </rPh>
    <phoneticPr fontId="1"/>
  </si>
  <si>
    <t>固めの固定砲台の敵</t>
    <rPh sb="0" eb="1">
      <t>カタ</t>
    </rPh>
    <rPh sb="3" eb="7">
      <t>コテイホウダイ</t>
    </rPh>
    <rPh sb="8" eb="9">
      <t>テキ</t>
    </rPh>
    <phoneticPr fontId="1"/>
  </si>
  <si>
    <t>蝶みたいな敵</t>
    <rPh sb="0" eb="1">
      <t>チョウ</t>
    </rPh>
    <rPh sb="5" eb="6">
      <t>テキ</t>
    </rPh>
    <phoneticPr fontId="1"/>
  </si>
  <si>
    <t>　ータイトル→チュートリアル</t>
    <phoneticPr fontId="1"/>
  </si>
  <si>
    <t>　ーチュートリアル→ステージセレクト</t>
    <phoneticPr fontId="1"/>
  </si>
  <si>
    <t>9月</t>
  </si>
  <si>
    <t>10月</t>
  </si>
  <si>
    <t>11月</t>
  </si>
  <si>
    <t>12月</t>
  </si>
  <si>
    <t>1月</t>
  </si>
  <si>
    <t>日</t>
  </si>
  <si>
    <t>月</t>
  </si>
  <si>
    <t>火</t>
  </si>
  <si>
    <t>水</t>
  </si>
  <si>
    <t>木</t>
  </si>
  <si>
    <t>金</t>
  </si>
  <si>
    <t>土</t>
  </si>
  <si>
    <t>プロト</t>
  </si>
  <si>
    <t>ベータ</t>
  </si>
  <si>
    <t>マスター</t>
  </si>
  <si>
    <t>提出</t>
  </si>
  <si>
    <t>　ー死亡</t>
  </si>
  <si>
    <t>　ーモーションブラー</t>
  </si>
  <si>
    <t>　ー被写界深度</t>
  </si>
  <si>
    <t>敵の攻撃反射用</t>
  </si>
  <si>
    <t>　ーノーマルショットと岩</t>
    <rPh sb="11" eb="12">
      <t>イワ</t>
    </rPh>
    <phoneticPr fontId="1"/>
  </si>
  <si>
    <t>チャージショットの爆発</t>
    <rPh sb="9" eb="11">
      <t>バクハツ</t>
    </rPh>
    <phoneticPr fontId="1"/>
  </si>
  <si>
    <t>ステージ変更</t>
    <rPh sb="4" eb="6">
      <t>ヘンコウ</t>
    </rPh>
    <phoneticPr fontId="1"/>
  </si>
  <si>
    <t>雨の音</t>
    <rPh sb="0" eb="1">
      <t>アメ</t>
    </rPh>
    <rPh sb="2" eb="3">
      <t>オト</t>
    </rPh>
    <phoneticPr fontId="1"/>
  </si>
  <si>
    <t>プレイヤーが横回転した時の音</t>
    <rPh sb="6" eb="9">
      <t>ヨコカイテン</t>
    </rPh>
    <rPh sb="11" eb="12">
      <t>トキ</t>
    </rPh>
    <rPh sb="13" eb="14">
      <t>オト</t>
    </rPh>
    <phoneticPr fontId="1"/>
  </si>
  <si>
    <t>　ーキル数</t>
    <rPh sb="4" eb="5">
      <t>スウ</t>
    </rPh>
    <phoneticPr fontId="1"/>
  </si>
  <si>
    <t>　ーコンボ</t>
    <phoneticPr fontId="1"/>
  </si>
  <si>
    <t>　ーチャージショット着弾時爆発</t>
    <rPh sb="10" eb="15">
      <t>チャクダンジバクハツ</t>
    </rPh>
    <phoneticPr fontId="1"/>
  </si>
  <si>
    <t>　ー機体の横回転</t>
    <rPh sb="2" eb="4">
      <t>キタイ</t>
    </rPh>
    <rPh sb="5" eb="8">
      <t>ヨコカイテン</t>
    </rPh>
    <phoneticPr fontId="1"/>
  </si>
  <si>
    <t>A</t>
  </si>
  <si>
    <t>B</t>
  </si>
  <si>
    <t>最悪順番にステージ攻略させる</t>
    <rPh sb="0" eb="2">
      <t>サイアク</t>
    </rPh>
    <rPh sb="2" eb="4">
      <t>ジュンバン</t>
    </rPh>
    <rPh sb="9" eb="11">
      <t>コウリャク</t>
    </rPh>
    <phoneticPr fontId="1"/>
  </si>
  <si>
    <t>C</t>
  </si>
  <si>
    <t>ポートフォリオ関係</t>
    <rPh sb="7" eb="9">
      <t>カンケイ</t>
    </rPh>
    <phoneticPr fontId="1"/>
  </si>
  <si>
    <t>　ーシステム部分</t>
    <rPh sb="6" eb="8">
      <t>ブブン</t>
    </rPh>
    <phoneticPr fontId="1"/>
  </si>
  <si>
    <t>未完了</t>
    <phoneticPr fontId="1"/>
  </si>
  <si>
    <t>バグ修正</t>
    <rPh sb="2" eb="4">
      <t>シュウセイ</t>
    </rPh>
    <phoneticPr fontId="1"/>
  </si>
  <si>
    <t>　ーエフェクトが消えていない</t>
    <rPh sb="8" eb="9">
      <t>キ</t>
    </rPh>
    <phoneticPr fontId="1"/>
  </si>
  <si>
    <t>展示会で指摘された場所なので絶対に直すこと</t>
    <rPh sb="0" eb="3">
      <t>テンジカイ</t>
    </rPh>
    <rPh sb="4" eb="6">
      <t>シテキ</t>
    </rPh>
    <rPh sb="9" eb="11">
      <t>バショ</t>
    </rPh>
    <rPh sb="14" eb="16">
      <t>ゼッタイ</t>
    </rPh>
    <rPh sb="17" eb="18">
      <t>ナオ</t>
    </rPh>
    <phoneticPr fontId="1"/>
  </si>
  <si>
    <t>　ーローディングを最初に全部ではなくその都度にする</t>
    <rPh sb="9" eb="11">
      <t>サイショ</t>
    </rPh>
    <rPh sb="12" eb="14">
      <t>ゼンブ</t>
    </rPh>
    <rPh sb="20" eb="22">
      <t>ツド</t>
    </rPh>
    <phoneticPr fontId="1"/>
  </si>
  <si>
    <t>　ーボスの倒し方</t>
    <rPh sb="5" eb="6">
      <t>タオ</t>
    </rPh>
    <rPh sb="7" eb="8">
      <t>カタ</t>
    </rPh>
    <phoneticPr fontId="1"/>
  </si>
  <si>
    <t>横回転反射</t>
    <rPh sb="0" eb="5">
      <t>ヨコカイテンハンシャ</t>
    </rPh>
    <phoneticPr fontId="1"/>
  </si>
  <si>
    <t>　ー敵の通常弾を敵に反射(完全追従)</t>
    <rPh sb="2" eb="3">
      <t>テキ</t>
    </rPh>
    <rPh sb="4" eb="7">
      <t>ツウジョウタマ</t>
    </rPh>
    <rPh sb="8" eb="9">
      <t>テキ</t>
    </rPh>
    <rPh sb="10" eb="12">
      <t>ハンシャ</t>
    </rPh>
    <rPh sb="13" eb="17">
      <t>カンゼンツイジュウ</t>
    </rPh>
    <phoneticPr fontId="1"/>
  </si>
  <si>
    <t>　ーボスビームをボスに反射(ちょっと追従)</t>
    <rPh sb="11" eb="13">
      <t>ハンシャ</t>
    </rPh>
    <rPh sb="18" eb="20">
      <t>ツイジュウ</t>
    </rPh>
    <phoneticPr fontId="1"/>
  </si>
  <si>
    <t>完了</t>
    <phoneticPr fontId="1"/>
  </si>
  <si>
    <t>　ーエフェクトが見づらいので修正</t>
    <rPh sb="8" eb="9">
      <t>ミ</t>
    </rPh>
    <rPh sb="14" eb="16">
      <t>シュウセイ</t>
    </rPh>
    <phoneticPr fontId="1"/>
  </si>
  <si>
    <t>敵全体</t>
    <rPh sb="0" eb="3">
      <t>テキゼンタイ</t>
    </rPh>
    <phoneticPr fontId="1"/>
  </si>
  <si>
    <t>　ー敵側の予備動作</t>
    <rPh sb="2" eb="4">
      <t>テキガワ</t>
    </rPh>
    <rPh sb="5" eb="9">
      <t>ヨビドウサ</t>
    </rPh>
    <phoneticPr fontId="1"/>
  </si>
  <si>
    <t>難しすぎるので優先度低めでもよい</t>
    <rPh sb="0" eb="1">
      <t>ムズカ</t>
    </rPh>
    <rPh sb="7" eb="10">
      <t>ユウセンド</t>
    </rPh>
    <rPh sb="10" eb="11">
      <t>ヒク</t>
    </rPh>
    <phoneticPr fontId="1"/>
  </si>
  <si>
    <t>　ーボス死亡時のまわりのエフェクトを消す</t>
    <rPh sb="4" eb="6">
      <t>シボウ</t>
    </rPh>
    <rPh sb="6" eb="7">
      <t>ジ</t>
    </rPh>
    <rPh sb="18" eb="19">
      <t>ケ</t>
    </rPh>
    <phoneticPr fontId="1"/>
  </si>
  <si>
    <t>非同期ロード</t>
    <rPh sb="0" eb="3">
      <t>ヒドウキ</t>
    </rPh>
    <phoneticPr fontId="1"/>
  </si>
  <si>
    <t>　ー右下のちっちゃい操作窓</t>
    <rPh sb="2" eb="4">
      <t>ミギシタ</t>
    </rPh>
    <rPh sb="10" eb="12">
      <t>ソウサ</t>
    </rPh>
    <rPh sb="12" eb="13">
      <t>マド</t>
    </rPh>
    <phoneticPr fontId="1"/>
  </si>
  <si>
    <t>　ー真ん中にヒント</t>
    <rPh sb="2" eb="3">
      <t>マ</t>
    </rPh>
    <rPh sb="4" eb="5">
      <t>ナカ</t>
    </rPh>
    <phoneticPr fontId="1"/>
  </si>
  <si>
    <t>　ー1面の配置</t>
    <phoneticPr fontId="1"/>
  </si>
  <si>
    <t>　ー傾けた方向への移動の加速</t>
  </si>
  <si>
    <t>　ー移動の加速度</t>
  </si>
  <si>
    <t>　ーカウンター成功時のスロー・カメラの揺れ</t>
  </si>
  <si>
    <t>　ー当たり判定の共通化・カウンター判定</t>
  </si>
  <si>
    <t>　ー登場演出</t>
  </si>
  <si>
    <t>　ーチュートリアル後にステージ開始</t>
  </si>
  <si>
    <t>　ー景色の島</t>
  </si>
  <si>
    <t>　ー難易度調整(初心者がクリアできない)</t>
  </si>
  <si>
    <t>　ー2面の配置</t>
  </si>
  <si>
    <t>　ーステージ開始の演出</t>
  </si>
  <si>
    <t>　ー1文字ずつ表示する演出</t>
  </si>
  <si>
    <t>　ーグリッチ</t>
  </si>
  <si>
    <t>　ー見た目の作り直し・軽量化</t>
  </si>
  <si>
    <t>　ーカウンター成功時のフラッシュ</t>
  </si>
  <si>
    <t>　ーその他のバグ修正</t>
  </si>
  <si>
    <t>　ーステータスのCSV化</t>
  </si>
  <si>
    <t>カメラ</t>
  </si>
  <si>
    <t>　ー画面端での遠近感の修正</t>
  </si>
  <si>
    <t>　ー宙返り中も機体を映す</t>
  </si>
  <si>
    <t>システム</t>
  </si>
  <si>
    <t>完了</t>
  </si>
  <si>
    <t>　ーエフェクト管理・入力・ポーズ・デバッグ表示の整備</t>
  </si>
  <si>
    <t>　ー個体ごとに動きと攻撃のタイミングをずらす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</si>
</sst>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8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8FAE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BF51D5"/>
        <bgColor indexed="64"/>
      </patternFill>
    </fill>
    <fill>
      <patternFill patternType="solid">
        <fgColor rgb="FFF2FA88"/>
        <bgColor indexed="64"/>
      </patternFill>
    </fill>
    <fill>
      <patternFill patternType="solid">
        <fgColor rgb="FF7FA78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7E8DA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D7EE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4" borderId="15" xfId="0" applyFill="1" applyBorder="1">
      <alignment vertical="center"/>
    </xf>
    <xf numFmtId="0" fontId="0" fillId="5" borderId="15" xfId="0" applyFill="1" applyBorder="1">
      <alignment vertical="center"/>
    </xf>
    <xf numFmtId="0" fontId="0" fillId="7" borderId="15" xfId="0" applyFill="1" applyBorder="1">
      <alignment vertical="center"/>
    </xf>
    <xf numFmtId="0" fontId="0" fillId="8" borderId="15" xfId="0" applyFill="1" applyBorder="1">
      <alignment vertical="center"/>
    </xf>
    <xf numFmtId="0" fontId="0" fillId="9" borderId="15" xfId="0" applyFill="1" applyBorder="1">
      <alignment vertical="center"/>
    </xf>
    <xf numFmtId="0" fontId="0" fillId="10" borderId="15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14" fontId="0" fillId="0" borderId="25" xfId="0" applyNumberFormat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3" fillId="2" borderId="0" xfId="0" applyFont="1" applyFill="1">
      <alignment vertical="center"/>
    </xf>
    <xf numFmtId="0" fontId="0" fillId="10" borderId="16" xfId="0" applyFill="1" applyBorder="1">
      <alignment vertical="center"/>
    </xf>
    <xf numFmtId="0" fontId="0" fillId="15" borderId="15" xfId="0" applyFill="1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3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1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31" xfId="0" applyFont="1" applyBorder="1">
      <alignment vertical="center"/>
    </xf>
    <xf numFmtId="0" fontId="0" fillId="16" borderId="15" xfId="0" applyFill="1" applyBorder="1">
      <alignment vertical="center"/>
    </xf>
    <xf numFmtId="0" fontId="0" fillId="17" borderId="15" xfId="0" applyFill="1" applyBorder="1">
      <alignment vertical="center"/>
    </xf>
    <xf numFmtId="0" fontId="0" fillId="18" borderId="15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1" borderId="15" xfId="0" applyFill="1" applyBorder="1">
      <alignment vertical="center"/>
    </xf>
    <xf numFmtId="0" fontId="0" fillId="0" borderId="17" xfId="0" applyBorder="1" applyAlignment="1">
      <alignment vertical="center" wrapText="1"/>
    </xf>
    <xf numFmtId="0" fontId="0" fillId="12" borderId="15" xfId="0" applyFill="1" applyBorder="1">
      <alignment vertical="center"/>
    </xf>
    <xf numFmtId="0" fontId="0" fillId="6" borderId="15" xfId="0" applyFill="1" applyBorder="1">
      <alignment vertical="center"/>
    </xf>
    <xf numFmtId="0" fontId="0" fillId="2" borderId="15" xfId="0" applyFill="1" applyBorder="1">
      <alignment vertical="center"/>
    </xf>
    <xf numFmtId="0" fontId="0" fillId="13" borderId="15" xfId="0" applyFill="1" applyBorder="1">
      <alignment vertical="center"/>
    </xf>
    <xf numFmtId="0" fontId="0" fillId="14" borderId="15" xfId="0" applyFill="1" applyBorder="1">
      <alignment vertical="center"/>
    </xf>
    <xf numFmtId="0" fontId="0" fillId="20" borderId="1" xfId="0" applyFill="1" applyBorder="1">
      <alignment vertical="center"/>
    </xf>
    <xf numFmtId="0" fontId="0" fillId="21" borderId="1" xfId="0" applyFill="1" applyBorder="1">
      <alignment vertical="center"/>
    </xf>
    <xf numFmtId="0" fontId="5" fillId="22" borderId="1" xfId="0" applyFont="1" applyFill="1" applyBorder="1">
      <alignment vertical="center"/>
    </xf>
    <xf numFmtId="0" fontId="0" fillId="19" borderId="1" xfId="0" applyFill="1" applyBorder="1">
      <alignment vertical="center"/>
    </xf>
    <xf numFmtId="0" fontId="0" fillId="23" borderId="1" xfId="0" applyFill="1" applyBorder="1">
      <alignment vertical="center"/>
    </xf>
    <xf numFmtId="0" fontId="0" fillId="24" borderId="0" xfId="0" applyFill="1">
      <alignment vertical="center"/>
    </xf>
    <xf numFmtId="0" fontId="0" fillId="2" borderId="1" xfId="0" applyFill="1" applyBorder="1">
      <alignment vertical="center"/>
    </xf>
    <xf numFmtId="0" fontId="0" fillId="25" borderId="1" xfId="0" applyFill="1" applyBorder="1">
      <alignment vertical="center"/>
    </xf>
    <xf numFmtId="0" fontId="0" fillId="24" borderId="1" xfId="0" applyFill="1" applyBorder="1">
      <alignment vertical="center"/>
    </xf>
    <xf numFmtId="0" fontId="6" fillId="22" borderId="16" xfId="0" applyFont="1" applyFill="1" applyBorder="1">
      <alignment vertical="center"/>
    </xf>
    <xf numFmtId="0" fontId="7" fillId="22" borderId="16" xfId="0" applyFont="1" applyFill="1" applyBorder="1">
      <alignment vertical="center"/>
    </xf>
    <xf numFmtId="0" fontId="0" fillId="26" borderId="15" xfId="0" applyFill="1" applyBorder="1">
      <alignment vertical="center"/>
    </xf>
    <xf numFmtId="0" fontId="4" fillId="26" borderId="15" xfId="0" applyFont="1" applyFill="1" applyBorder="1">
      <alignment vertical="center"/>
    </xf>
    <xf numFmtId="0" fontId="4" fillId="10" borderId="16" xfId="0" applyFont="1" applyFill="1" applyBorder="1">
      <alignment vertical="center"/>
    </xf>
    <xf numFmtId="0" fontId="0" fillId="27" borderId="15" xfId="0" applyFill="1" applyBorder="1">
      <alignment vertical="center"/>
    </xf>
    <xf numFmtId="0" fontId="7" fillId="28" borderId="15" xfId="0" applyFont="1" applyFill="1" applyBorder="1">
      <alignment vertical="center"/>
    </xf>
    <xf numFmtId="0" fontId="4" fillId="29" borderId="15" xfId="0" applyFont="1" applyFill="1" applyBorder="1">
      <alignment vertical="center"/>
    </xf>
    <xf numFmtId="0" fontId="4" fillId="30" borderId="15" xfId="0" applyFont="1" applyFill="1" applyBorder="1">
      <alignment vertical="center"/>
    </xf>
  </cellXfs>
  <cellStyles count="1">
    <cellStyle name="標準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E7E8DA"/>
      <color rgb="FF7FA78C"/>
      <color rgb="FFF2FA88"/>
      <color rgb="FF95EDA4"/>
      <color rgb="FFBF51D5"/>
      <color rgb="FFFBE2D5"/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</xdr:row>
      <xdr:rowOff>4763</xdr:rowOff>
    </xdr:from>
    <xdr:to>
      <xdr:col>9</xdr:col>
      <xdr:colOff>114300</xdr:colOff>
      <xdr:row>4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CD056E9-8058-598D-F66D-2FF34766333A}"/>
            </a:ext>
          </a:extLst>
        </xdr:cNvPr>
        <xdr:cNvSpPr txBox="1"/>
      </xdr:nvSpPr>
      <xdr:spPr>
        <a:xfrm>
          <a:off x="4848224" y="481013"/>
          <a:ext cx="1438276" cy="4810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GameObject</a:t>
          </a:r>
        </a:p>
      </xdr:txBody>
    </xdr:sp>
    <xdr:clientData/>
  </xdr:twoCellAnchor>
  <xdr:twoCellAnchor>
    <xdr:from>
      <xdr:col>5</xdr:col>
      <xdr:colOff>514349</xdr:colOff>
      <xdr:row>6</xdr:row>
      <xdr:rowOff>71438</xdr:rowOff>
    </xdr:from>
    <xdr:to>
      <xdr:col>6</xdr:col>
      <xdr:colOff>552450</xdr:colOff>
      <xdr:row>7</xdr:row>
      <xdr:rowOff>219075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524C7AC-4C28-DFFD-F034-CC88131D6FE5}"/>
            </a:ext>
          </a:extLst>
        </xdr:cNvPr>
        <xdr:cNvSpPr txBox="1"/>
      </xdr:nvSpPr>
      <xdr:spPr>
        <a:xfrm>
          <a:off x="3943349" y="1500188"/>
          <a:ext cx="723901" cy="3857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Actor</a:t>
          </a:r>
        </a:p>
      </xdr:txBody>
    </xdr:sp>
    <xdr:clientData/>
  </xdr:twoCellAnchor>
  <xdr:twoCellAnchor>
    <xdr:from>
      <xdr:col>7</xdr:col>
      <xdr:colOff>619124</xdr:colOff>
      <xdr:row>6</xdr:row>
      <xdr:rowOff>90488</xdr:rowOff>
    </xdr:from>
    <xdr:to>
      <xdr:col>9</xdr:col>
      <xdr:colOff>647700</xdr:colOff>
      <xdr:row>8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8B72109-C456-A1A0-B736-125860EF359A}"/>
            </a:ext>
          </a:extLst>
        </xdr:cNvPr>
        <xdr:cNvSpPr txBox="1"/>
      </xdr:nvSpPr>
      <xdr:spPr>
        <a:xfrm>
          <a:off x="5419724" y="1519238"/>
          <a:ext cx="1400176" cy="3857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CameraBase</a:t>
          </a:r>
        </a:p>
      </xdr:txBody>
    </xdr:sp>
    <xdr:clientData/>
  </xdr:twoCellAnchor>
  <xdr:twoCellAnchor>
    <xdr:from>
      <xdr:col>4</xdr:col>
      <xdr:colOff>314325</xdr:colOff>
      <xdr:row>10</xdr:row>
      <xdr:rowOff>204788</xdr:rowOff>
    </xdr:from>
    <xdr:to>
      <xdr:col>6</xdr:col>
      <xdr:colOff>95251</xdr:colOff>
      <xdr:row>12</xdr:row>
      <xdr:rowOff>114300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52FCE12-9338-21E8-6C02-461BAAF77FEF}"/>
            </a:ext>
          </a:extLst>
        </xdr:cNvPr>
        <xdr:cNvSpPr txBox="1"/>
      </xdr:nvSpPr>
      <xdr:spPr>
        <a:xfrm>
          <a:off x="3057525" y="2586038"/>
          <a:ext cx="1152526" cy="3857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Charactor</a:t>
          </a:r>
        </a:p>
      </xdr:txBody>
    </xdr:sp>
    <xdr:clientData/>
  </xdr:twoCellAnchor>
  <xdr:twoCellAnchor>
    <xdr:from>
      <xdr:col>3</xdr:col>
      <xdr:colOff>171450</xdr:colOff>
      <xdr:row>15</xdr:row>
      <xdr:rowOff>95250</xdr:rowOff>
    </xdr:from>
    <xdr:to>
      <xdr:col>4</xdr:col>
      <xdr:colOff>333375</xdr:colOff>
      <xdr:row>17</xdr:row>
      <xdr:rowOff>4762</xdr:rowOff>
    </xdr:to>
    <xdr:sp macro="" textlink="">
      <xdr:nvSpPr>
        <xdr:cNvPr id="8" name="テキスト ボックス 4">
          <a:extLst>
            <a:ext uri="{FF2B5EF4-FFF2-40B4-BE49-F238E27FC236}">
              <a16:creationId xmlns:a16="http://schemas.microsoft.com/office/drawing/2014/main" id="{76EFFE52-CD95-4CC5-8BBE-ECF025D10A62}"/>
            </a:ext>
            <a:ext uri="{147F2762-F138-4A5C-976F-8EAC2B608ADB}">
              <a16:predDERef xmlns:a16="http://schemas.microsoft.com/office/drawing/2014/main" pred="{D52FCE12-9338-21E8-6C02-461BAAF77FEF}"/>
            </a:ext>
          </a:extLst>
        </xdr:cNvPr>
        <xdr:cNvSpPr txBox="1"/>
      </xdr:nvSpPr>
      <xdr:spPr>
        <a:xfrm>
          <a:off x="2228850" y="3667125"/>
          <a:ext cx="847725" cy="3857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800"/>
            <a:t>Player</a:t>
          </a:r>
        </a:p>
      </xdr:txBody>
    </xdr:sp>
    <xdr:clientData/>
  </xdr:twoCellAnchor>
  <xdr:twoCellAnchor>
    <xdr:from>
      <xdr:col>5</xdr:col>
      <xdr:colOff>400050</xdr:colOff>
      <xdr:row>15</xdr:row>
      <xdr:rowOff>104775</xdr:rowOff>
    </xdr:from>
    <xdr:to>
      <xdr:col>6</xdr:col>
      <xdr:colOff>561975</xdr:colOff>
      <xdr:row>17</xdr:row>
      <xdr:rowOff>14287</xdr:rowOff>
    </xdr:to>
    <xdr:sp macro="" textlink="">
      <xdr:nvSpPr>
        <xdr:cNvPr id="9" name="テキスト ボックス 4">
          <a:extLst>
            <a:ext uri="{FF2B5EF4-FFF2-40B4-BE49-F238E27FC236}">
              <a16:creationId xmlns:a16="http://schemas.microsoft.com/office/drawing/2014/main" id="{89717D60-19C6-4709-91CD-21A13537BBF7}"/>
            </a:ext>
            <a:ext uri="{147F2762-F138-4A5C-976F-8EAC2B608ADB}">
              <a16:predDERef xmlns:a16="http://schemas.microsoft.com/office/drawing/2014/main" pred="{D52FCE12-9338-21E8-6C02-461BAAF77FEF}"/>
            </a:ext>
          </a:extLst>
        </xdr:cNvPr>
        <xdr:cNvSpPr txBox="1"/>
      </xdr:nvSpPr>
      <xdr:spPr>
        <a:xfrm>
          <a:off x="3829050" y="3676650"/>
          <a:ext cx="847725" cy="3857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en-US" altLang="ja-JP" sz="1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C3BE7-AE2C-45A4-BCE5-94B11A6E92A6}" name="テーブル1" displayName="テーブル1" ref="B2:H104" totalsRowShown="0" headerRowDxfId="10" headerRowBorderDxfId="9" tableBorderDxfId="8" totalsRowBorderDxfId="7">
  <autoFilter ref="B2:H104" xr:uid="{E0FC3BE7-AE2C-45A4-BCE5-94B11A6E92A6}"/>
  <tableColumns count="7">
    <tableColumn id="1" xr3:uid="{71F0E5E5-3A82-4316-AD85-722A3DD060DA}" name="概要" dataDxfId="6"/>
    <tableColumn id="2" xr3:uid="{142FEF32-AB44-406D-9B16-5542F7324A2E}" name="見積コスト" dataDxfId="5"/>
    <tableColumn id="3" xr3:uid="{B3BC329D-C792-44C6-8BD7-403BF8F7186B}" name="実コスト" dataDxfId="4"/>
    <tableColumn id="4" xr3:uid="{799D5453-2D93-4087-A6D5-E8526E686B68}" name="優先度" dataDxfId="3"/>
    <tableColumn id="5" xr3:uid="{0C8AA4A7-4A7B-4B98-9A9E-A567BA9B8632}" name="バージョン" dataDxfId="2"/>
    <tableColumn id="6" xr3:uid="{7771B266-4281-494A-ADAB-374982E6ED1D}" name="ステータス" dataDxfId="1"/>
    <tableColumn id="7" xr3:uid="{301247EC-60CC-45AA-AE62-5AEFA2CAB12D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9C0-8A2E-47C9-9069-0CE91432CA50}">
  <dimension ref="A1"/>
  <sheetViews>
    <sheetView workbookViewId="0">
      <selection activeCell="J14" sqref="J14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7ECA-69F8-4143-96B8-D66FE701B0EC}">
  <dimension ref="A1:M104"/>
  <sheetViews>
    <sheetView tabSelected="1" topLeftCell="C81" zoomScaleNormal="100" workbookViewId="0">
      <selection activeCell="H91" sqref="H91"/>
    </sheetView>
  </sheetViews>
  <sheetFormatPr defaultRowHeight="18.75" x14ac:dyDescent="0.4"/>
  <cols>
    <col min="1" max="1" width="13.75" bestFit="1" customWidth="1"/>
    <col min="2" max="2" width="52.25" bestFit="1" customWidth="1"/>
    <col min="3" max="3" width="12.125" customWidth="1"/>
    <col min="4" max="4" width="10.25" customWidth="1"/>
    <col min="5" max="5" width="8.375" customWidth="1"/>
    <col min="6" max="7" width="12.125" customWidth="1"/>
    <col min="8" max="8" width="151.5" bestFit="1" customWidth="1"/>
    <col min="10" max="10" width="11.375" bestFit="1" customWidth="1"/>
    <col min="11" max="11" width="9.25" bestFit="1" customWidth="1"/>
    <col min="12" max="12" width="22.5" bestFit="1" customWidth="1"/>
    <col min="13" max="13" width="28.75" bestFit="1" customWidth="1"/>
    <col min="14" max="14" width="22.5" bestFit="1" customWidth="1"/>
  </cols>
  <sheetData>
    <row r="1" spans="1:13" x14ac:dyDescent="0.4">
      <c r="A1" s="33" t="s">
        <v>1</v>
      </c>
    </row>
    <row r="2" spans="1:13" x14ac:dyDescent="0.4">
      <c r="B2" s="50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1" t="s">
        <v>8</v>
      </c>
    </row>
    <row r="3" spans="1:13" x14ac:dyDescent="0.4">
      <c r="B3" s="11" t="s">
        <v>9</v>
      </c>
      <c r="C3" s="1"/>
      <c r="D3" s="1"/>
      <c r="E3" s="1"/>
      <c r="F3" s="1" t="s">
        <v>89</v>
      </c>
      <c r="G3" s="1" t="s">
        <v>112</v>
      </c>
      <c r="H3" s="18"/>
    </row>
    <row r="4" spans="1:13" x14ac:dyDescent="0.4">
      <c r="B4" s="11" t="s">
        <v>45</v>
      </c>
      <c r="C4" s="1">
        <v>3</v>
      </c>
      <c r="D4" s="1">
        <v>4</v>
      </c>
      <c r="E4" s="1" t="s">
        <v>29</v>
      </c>
      <c r="F4" s="1" t="s">
        <v>89</v>
      </c>
      <c r="G4" s="1" t="str">
        <f>IF(D4 &gt; 0,"完了","未完了")</f>
        <v>完了</v>
      </c>
      <c r="H4" s="18" t="s">
        <v>96</v>
      </c>
    </row>
    <row r="5" spans="1:13" x14ac:dyDescent="0.4">
      <c r="B5" s="73" t="s">
        <v>131</v>
      </c>
      <c r="C5" s="1">
        <v>1</v>
      </c>
      <c r="D5" s="1">
        <v>1</v>
      </c>
      <c r="E5" s="1" t="s">
        <v>29</v>
      </c>
      <c r="F5" s="1" t="s">
        <v>89</v>
      </c>
      <c r="G5" s="1" t="str">
        <f>IF(D5 &gt; 0,"完了","未完了")</f>
        <v>完了</v>
      </c>
      <c r="H5" s="18"/>
    </row>
    <row r="6" spans="1:13" ht="19.5" thickBot="1" x14ac:dyDescent="0.45">
      <c r="B6" s="73" t="s">
        <v>132</v>
      </c>
      <c r="C6" s="1">
        <v>2</v>
      </c>
      <c r="D6" s="1"/>
      <c r="E6" s="1" t="s">
        <v>107</v>
      </c>
      <c r="F6" s="1" t="s">
        <v>89</v>
      </c>
      <c r="G6" s="1" t="str">
        <f>IF(D6 &gt; 0,"完了","未完了")</f>
        <v>未完了</v>
      </c>
      <c r="H6" s="18"/>
      <c r="J6" s="24"/>
    </row>
    <row r="7" spans="1:13" x14ac:dyDescent="0.4">
      <c r="B7" s="70" t="s">
        <v>118</v>
      </c>
      <c r="C7" s="1"/>
      <c r="D7" s="1"/>
      <c r="E7" s="1"/>
      <c r="F7" s="1"/>
      <c r="G7" s="1" t="s">
        <v>121</v>
      </c>
      <c r="H7" s="18"/>
      <c r="J7" s="6" t="s">
        <v>13</v>
      </c>
      <c r="K7" s="7" t="s">
        <v>14</v>
      </c>
      <c r="L7" s="8" t="s">
        <v>15</v>
      </c>
    </row>
    <row r="8" spans="1:13" x14ac:dyDescent="0.4">
      <c r="B8" s="70" t="s">
        <v>120</v>
      </c>
      <c r="C8" s="1">
        <v>6</v>
      </c>
      <c r="D8" s="1">
        <v>6</v>
      </c>
      <c r="E8" s="1" t="s">
        <v>29</v>
      </c>
      <c r="F8" s="1" t="s">
        <v>89</v>
      </c>
      <c r="G8" s="1" t="str">
        <f t="shared" ref="G8:G9" si="0">IF(D8 &gt; 0,"完了","未完了")</f>
        <v>完了</v>
      </c>
      <c r="H8" s="18"/>
      <c r="J8" s="2" t="s">
        <v>12</v>
      </c>
      <c r="K8" s="1">
        <f>SUMIF(テーブル1[バージョン],J8,テーブル1[見積コスト])</f>
        <v>80</v>
      </c>
      <c r="L8" s="3">
        <f>K8-SUMIFS(テーブル1[見積コスト],テーブル1[バージョン],J8,テーブル1[ステータス],"完了")</f>
        <v>14</v>
      </c>
    </row>
    <row r="9" spans="1:13" x14ac:dyDescent="0.4">
      <c r="B9" s="70" t="s">
        <v>119</v>
      </c>
      <c r="C9" s="1">
        <v>2</v>
      </c>
      <c r="D9" s="1">
        <v>2</v>
      </c>
      <c r="E9" s="1" t="s">
        <v>29</v>
      </c>
      <c r="F9" s="1" t="s">
        <v>89</v>
      </c>
      <c r="G9" s="1" t="str">
        <f t="shared" si="0"/>
        <v>完了</v>
      </c>
      <c r="H9" s="18"/>
      <c r="J9" s="2" t="s">
        <v>16</v>
      </c>
      <c r="K9" s="1">
        <f>SUMIF(テーブル1[バージョン],J9,テーブル1[見積コスト])</f>
        <v>67</v>
      </c>
      <c r="L9" s="3">
        <f>K9-SUMIFS(テーブル1[見積コスト],テーブル1[バージョン],J9,テーブル1[ステータス],"完了")</f>
        <v>57</v>
      </c>
    </row>
    <row r="10" spans="1:13" x14ac:dyDescent="0.4">
      <c r="B10" s="70" t="s">
        <v>133</v>
      </c>
      <c r="C10" s="1">
        <v>2</v>
      </c>
      <c r="D10" s="1">
        <v>3</v>
      </c>
      <c r="E10" s="1" t="s">
        <v>106</v>
      </c>
      <c r="F10" s="1" t="s">
        <v>89</v>
      </c>
      <c r="G10" s="1" t="str">
        <f>IF(D10 &gt; 0,"完了","未完了")</f>
        <v>完了</v>
      </c>
      <c r="H10" s="18"/>
      <c r="J10" s="2" t="s">
        <v>17</v>
      </c>
      <c r="K10" s="1">
        <f>SUMIF(テーブル1[バージョン],J10,テーブル1[見積コスト])</f>
        <v>44.5</v>
      </c>
      <c r="L10" s="3">
        <f>K10-SUMIFS(テーブル1[見積コスト],テーブル1[バージョン],J10,テーブル1[ステータス],"完了")</f>
        <v>35.5</v>
      </c>
    </row>
    <row r="11" spans="1:13" ht="19.5" thickBot="1" x14ac:dyDescent="0.45">
      <c r="B11" s="47" t="s">
        <v>46</v>
      </c>
      <c r="C11" s="1"/>
      <c r="D11" s="1"/>
      <c r="E11" s="1"/>
      <c r="F11" s="1" t="s">
        <v>89</v>
      </c>
      <c r="G11" s="1" t="s">
        <v>10</v>
      </c>
      <c r="H11" s="18"/>
      <c r="J11" s="9" t="s">
        <v>19</v>
      </c>
      <c r="K11" s="1">
        <f>SUMIF(F$4:F$99,J11,C$4:C$99)</f>
        <v>0</v>
      </c>
      <c r="L11" s="3">
        <f>K11-SUMIFS(テーブル1[見積コスト],テーブル1[バージョン],J11,テーブル1[ステータス],"完了")</f>
        <v>0</v>
      </c>
    </row>
    <row r="12" spans="1:13" ht="19.5" thickBot="1" x14ac:dyDescent="0.45">
      <c r="B12" s="47" t="s">
        <v>47</v>
      </c>
      <c r="C12" s="1">
        <v>3</v>
      </c>
      <c r="D12" s="1">
        <v>3</v>
      </c>
      <c r="E12" s="1" t="s">
        <v>29</v>
      </c>
      <c r="F12" s="1" t="s">
        <v>89</v>
      </c>
      <c r="G12" s="1" t="str">
        <f t="shared" ref="G12:G60" si="1">IF(D12 &gt; 0,"完了","未完了")</f>
        <v>完了</v>
      </c>
      <c r="H12" s="18"/>
      <c r="J12" s="21" t="s">
        <v>20</v>
      </c>
      <c r="K12" s="22">
        <f>SUM(K8:K11)</f>
        <v>191.5</v>
      </c>
      <c r="L12" s="23">
        <f>SUM(L8:L11)</f>
        <v>106.5</v>
      </c>
    </row>
    <row r="13" spans="1:13" ht="19.5" thickBot="1" x14ac:dyDescent="0.45">
      <c r="B13" s="47" t="s">
        <v>48</v>
      </c>
      <c r="C13" s="1">
        <v>1</v>
      </c>
      <c r="D13" s="1">
        <v>1</v>
      </c>
      <c r="E13" s="1" t="s">
        <v>107</v>
      </c>
      <c r="F13" s="1" t="s">
        <v>89</v>
      </c>
      <c r="G13" s="1" t="str">
        <f t="shared" si="1"/>
        <v>完了</v>
      </c>
      <c r="H13" s="18"/>
    </row>
    <row r="14" spans="1:13" x14ac:dyDescent="0.4">
      <c r="B14" s="17" t="s">
        <v>18</v>
      </c>
      <c r="C14" s="1"/>
      <c r="D14" s="1"/>
      <c r="E14" s="1"/>
      <c r="F14" s="1" t="s">
        <v>26</v>
      </c>
      <c r="G14" s="1" t="s">
        <v>10</v>
      </c>
      <c r="H14" s="18"/>
      <c r="J14" s="25" t="s">
        <v>22</v>
      </c>
      <c r="K14" s="26" t="s">
        <v>23</v>
      </c>
      <c r="L14" s="26" t="s">
        <v>24</v>
      </c>
      <c r="M14" s="27" t="s">
        <v>25</v>
      </c>
    </row>
    <row r="15" spans="1:13" ht="19.5" thickBot="1" x14ac:dyDescent="0.45">
      <c r="B15" s="17" t="s">
        <v>49</v>
      </c>
      <c r="C15" s="1">
        <v>1</v>
      </c>
      <c r="D15" s="1"/>
      <c r="E15" s="1" t="s">
        <v>106</v>
      </c>
      <c r="F15" s="1" t="s">
        <v>26</v>
      </c>
      <c r="G15" s="1" t="str">
        <f t="shared" si="1"/>
        <v>未完了</v>
      </c>
      <c r="H15" s="18"/>
      <c r="J15" s="28">
        <f>DATE(2026,9,18)</f>
        <v>46283</v>
      </c>
      <c r="K15" s="32">
        <f>_xlfn.DAYS(J17,J15)</f>
        <v>104</v>
      </c>
      <c r="L15" s="32">
        <f>K12/K15</f>
        <v>1.8413461538461537</v>
      </c>
      <c r="M15" s="29">
        <f ca="1">(K12-L12) / _xlfn.DAYS(TODAY(),J15)</f>
        <v>2.5</v>
      </c>
    </row>
    <row r="16" spans="1:13" x14ac:dyDescent="0.4">
      <c r="B16" s="52" t="s">
        <v>21</v>
      </c>
      <c r="C16" s="1"/>
      <c r="D16" s="1"/>
      <c r="E16" s="1"/>
      <c r="F16" s="1" t="s">
        <v>89</v>
      </c>
      <c r="G16" s="1" t="s">
        <v>112</v>
      </c>
      <c r="H16" s="18"/>
      <c r="J16" s="30" t="s">
        <v>27</v>
      </c>
      <c r="K16" s="31" t="s">
        <v>28</v>
      </c>
    </row>
    <row r="17" spans="2:11" ht="19.5" thickBot="1" x14ac:dyDescent="0.45">
      <c r="B17" s="52" t="s">
        <v>97</v>
      </c>
      <c r="C17" s="1">
        <v>0.5</v>
      </c>
      <c r="D17" s="1"/>
      <c r="E17" s="1" t="s">
        <v>29</v>
      </c>
      <c r="F17" s="1" t="s">
        <v>89</v>
      </c>
      <c r="G17" s="1" t="str">
        <f t="shared" si="1"/>
        <v>未完了</v>
      </c>
      <c r="H17" s="18"/>
      <c r="J17" s="28">
        <f>DATE(2026,12,31)</f>
        <v>46387</v>
      </c>
      <c r="K17" s="29">
        <f ca="1">_xlfn.DAYS(J17,TODAY())</f>
        <v>70</v>
      </c>
    </row>
    <row r="18" spans="2:11" x14ac:dyDescent="0.4">
      <c r="B18" s="52" t="s">
        <v>50</v>
      </c>
      <c r="C18" s="1">
        <v>0.5</v>
      </c>
      <c r="D18" s="1"/>
      <c r="E18" s="1" t="s">
        <v>29</v>
      </c>
      <c r="F18" s="1" t="s">
        <v>89</v>
      </c>
      <c r="G18" s="1" t="str">
        <f t="shared" si="1"/>
        <v>未完了</v>
      </c>
      <c r="H18" s="18"/>
    </row>
    <row r="19" spans="2:11" x14ac:dyDescent="0.4">
      <c r="B19" s="52" t="s">
        <v>134</v>
      </c>
      <c r="C19" s="1">
        <v>6</v>
      </c>
      <c r="D19" s="1">
        <v>6</v>
      </c>
      <c r="E19" s="1" t="s">
        <v>29</v>
      </c>
      <c r="F19" s="1" t="s">
        <v>89</v>
      </c>
      <c r="G19" s="1" t="str">
        <f>IF(D19 &gt; 0,"完了","未完了")</f>
        <v>完了</v>
      </c>
      <c r="H19" s="18"/>
    </row>
    <row r="20" spans="2:11" x14ac:dyDescent="0.4">
      <c r="B20" s="12" t="s">
        <v>74</v>
      </c>
      <c r="C20" s="1"/>
      <c r="D20" s="1"/>
      <c r="E20" s="1"/>
      <c r="F20" s="1" t="s">
        <v>89</v>
      </c>
      <c r="G20" s="1" t="s">
        <v>112</v>
      </c>
      <c r="H20" s="53"/>
    </row>
    <row r="21" spans="2:11" x14ac:dyDescent="0.4">
      <c r="B21" s="12" t="s">
        <v>51</v>
      </c>
      <c r="C21" s="1">
        <v>3</v>
      </c>
      <c r="D21" s="1"/>
      <c r="E21" s="1" t="s">
        <v>29</v>
      </c>
      <c r="F21" s="1" t="s">
        <v>89</v>
      </c>
      <c r="G21" s="1" t="str">
        <f t="shared" si="1"/>
        <v>未完了</v>
      </c>
      <c r="H21" s="18"/>
    </row>
    <row r="22" spans="2:11" x14ac:dyDescent="0.4">
      <c r="B22" s="12" t="s">
        <v>52</v>
      </c>
      <c r="C22" s="1">
        <v>2</v>
      </c>
      <c r="D22" s="1"/>
      <c r="E22" s="1" t="s">
        <v>29</v>
      </c>
      <c r="F22" s="1" t="s">
        <v>89</v>
      </c>
      <c r="G22" s="1" t="str">
        <f t="shared" si="1"/>
        <v>未完了</v>
      </c>
      <c r="H22" s="18"/>
    </row>
    <row r="23" spans="2:11" x14ac:dyDescent="0.4">
      <c r="B23" s="12" t="s">
        <v>53</v>
      </c>
      <c r="C23" s="1">
        <v>1</v>
      </c>
      <c r="D23" s="1"/>
      <c r="E23" s="1" t="s">
        <v>29</v>
      </c>
      <c r="F23" s="1" t="s">
        <v>89</v>
      </c>
      <c r="G23" s="1" t="str">
        <f t="shared" si="1"/>
        <v>未完了</v>
      </c>
      <c r="H23" s="18"/>
    </row>
    <row r="24" spans="2:11" x14ac:dyDescent="0.4">
      <c r="B24" s="12" t="s">
        <v>54</v>
      </c>
      <c r="C24" s="1">
        <v>1</v>
      </c>
      <c r="D24" s="1"/>
      <c r="E24" s="1" t="s">
        <v>29</v>
      </c>
      <c r="F24" s="1" t="s">
        <v>89</v>
      </c>
      <c r="G24" s="1" t="str">
        <f t="shared" si="1"/>
        <v>未完了</v>
      </c>
      <c r="H24" s="18"/>
    </row>
    <row r="25" spans="2:11" x14ac:dyDescent="0.4">
      <c r="B25" s="13" t="s">
        <v>73</v>
      </c>
      <c r="C25" s="1"/>
      <c r="D25" s="1"/>
      <c r="E25" s="1"/>
      <c r="F25" s="1" t="s">
        <v>89</v>
      </c>
      <c r="G25" s="1" t="s">
        <v>112</v>
      </c>
      <c r="H25" s="18"/>
    </row>
    <row r="26" spans="2:11" x14ac:dyDescent="0.4">
      <c r="B26" s="13" t="s">
        <v>53</v>
      </c>
      <c r="C26" s="1">
        <v>1</v>
      </c>
      <c r="D26" s="1"/>
      <c r="E26" s="1" t="s">
        <v>29</v>
      </c>
      <c r="F26" s="1" t="s">
        <v>89</v>
      </c>
      <c r="G26" s="1" t="str">
        <f t="shared" si="1"/>
        <v>未完了</v>
      </c>
      <c r="H26" s="18"/>
    </row>
    <row r="27" spans="2:11" x14ac:dyDescent="0.4">
      <c r="B27" s="13" t="s">
        <v>55</v>
      </c>
      <c r="C27" s="1">
        <v>1</v>
      </c>
      <c r="D27" s="1"/>
      <c r="E27" s="1" t="s">
        <v>29</v>
      </c>
      <c r="F27" s="1" t="s">
        <v>89</v>
      </c>
      <c r="G27" s="1" t="str">
        <f t="shared" si="1"/>
        <v>未完了</v>
      </c>
      <c r="H27" s="18"/>
    </row>
    <row r="28" spans="2:11" x14ac:dyDescent="0.4">
      <c r="B28" s="48" t="s">
        <v>56</v>
      </c>
      <c r="C28" s="1"/>
      <c r="D28" s="1"/>
      <c r="E28" s="1"/>
      <c r="F28" s="1" t="s">
        <v>89</v>
      </c>
      <c r="G28" s="1" t="s">
        <v>112</v>
      </c>
      <c r="H28" s="18"/>
    </row>
    <row r="29" spans="2:11" x14ac:dyDescent="0.4">
      <c r="B29" s="48" t="s">
        <v>53</v>
      </c>
      <c r="C29" s="1">
        <v>1</v>
      </c>
      <c r="D29" s="1"/>
      <c r="E29" s="1" t="s">
        <v>29</v>
      </c>
      <c r="F29" s="1" t="s">
        <v>89</v>
      </c>
      <c r="G29" s="1" t="str">
        <f t="shared" si="1"/>
        <v>未完了</v>
      </c>
      <c r="H29" s="18"/>
    </row>
    <row r="30" spans="2:11" x14ac:dyDescent="0.4">
      <c r="B30" s="48" t="s">
        <v>57</v>
      </c>
      <c r="C30" s="1">
        <v>1</v>
      </c>
      <c r="D30" s="1"/>
      <c r="E30" s="1" t="s">
        <v>29</v>
      </c>
      <c r="F30" s="1" t="s">
        <v>89</v>
      </c>
      <c r="G30" s="1" t="str">
        <f t="shared" si="1"/>
        <v>未完了</v>
      </c>
      <c r="H30" s="18"/>
    </row>
    <row r="31" spans="2:11" x14ac:dyDescent="0.4">
      <c r="B31" s="17" t="s">
        <v>59</v>
      </c>
      <c r="C31" s="1"/>
      <c r="D31" s="1"/>
      <c r="E31" s="1"/>
      <c r="F31" s="1" t="s">
        <v>26</v>
      </c>
      <c r="G31" s="1" t="s">
        <v>112</v>
      </c>
      <c r="H31" s="18" t="s">
        <v>58</v>
      </c>
    </row>
    <row r="32" spans="2:11" x14ac:dyDescent="0.4">
      <c r="B32" s="17" t="s">
        <v>93</v>
      </c>
      <c r="C32" s="1">
        <v>1</v>
      </c>
      <c r="D32" s="1"/>
      <c r="E32" s="1" t="s">
        <v>29</v>
      </c>
      <c r="F32" s="1" t="s">
        <v>26</v>
      </c>
      <c r="G32" s="1" t="str">
        <f t="shared" si="1"/>
        <v>未完了</v>
      </c>
      <c r="H32" s="18"/>
    </row>
    <row r="33" spans="2:8" x14ac:dyDescent="0.4">
      <c r="B33" s="17"/>
      <c r="C33" s="1">
        <v>0</v>
      </c>
      <c r="D33" s="1"/>
      <c r="E33" s="1" t="s">
        <v>29</v>
      </c>
      <c r="F33" s="1" t="s">
        <v>26</v>
      </c>
      <c r="G33" s="1" t="str">
        <f t="shared" si="1"/>
        <v>未完了</v>
      </c>
      <c r="H33" s="18"/>
    </row>
    <row r="34" spans="2:8" x14ac:dyDescent="0.4">
      <c r="B34" s="54"/>
      <c r="C34" s="1">
        <v>0</v>
      </c>
      <c r="D34" s="1"/>
      <c r="E34" s="1" t="s">
        <v>29</v>
      </c>
      <c r="F34" s="1" t="s">
        <v>26</v>
      </c>
      <c r="G34" s="1" t="str">
        <f t="shared" si="1"/>
        <v>未完了</v>
      </c>
      <c r="H34" s="18"/>
    </row>
    <row r="35" spans="2:8" x14ac:dyDescent="0.4">
      <c r="B35" s="17"/>
      <c r="C35" s="1">
        <v>0</v>
      </c>
      <c r="D35" s="1"/>
      <c r="E35" s="1" t="s">
        <v>29</v>
      </c>
      <c r="F35" s="1" t="s">
        <v>26</v>
      </c>
      <c r="G35" s="1" t="str">
        <f t="shared" si="1"/>
        <v>未完了</v>
      </c>
      <c r="H35" s="18"/>
    </row>
    <row r="36" spans="2:8" x14ac:dyDescent="0.4">
      <c r="B36" s="54" t="s">
        <v>135</v>
      </c>
      <c r="C36" s="1">
        <v>4</v>
      </c>
      <c r="D36" s="1">
        <v>4</v>
      </c>
      <c r="E36" s="1" t="s">
        <v>29</v>
      </c>
      <c r="F36" s="1" t="s">
        <v>89</v>
      </c>
      <c r="G36" s="1" t="str">
        <f>IF(D36 &gt; 0,"完了","未完了")</f>
        <v>完了</v>
      </c>
      <c r="H36" s="18"/>
    </row>
    <row r="37" spans="2:8" x14ac:dyDescent="0.4">
      <c r="B37" s="55" t="s">
        <v>30</v>
      </c>
      <c r="C37" s="1"/>
      <c r="D37" s="1"/>
      <c r="E37" s="1"/>
      <c r="F37" s="1" t="s">
        <v>17</v>
      </c>
      <c r="G37" s="1" t="s">
        <v>112</v>
      </c>
      <c r="H37" s="18"/>
    </row>
    <row r="38" spans="2:8" x14ac:dyDescent="0.4">
      <c r="B38" s="55" t="s">
        <v>67</v>
      </c>
      <c r="C38" s="1">
        <v>5</v>
      </c>
      <c r="D38" s="1">
        <v>20</v>
      </c>
      <c r="E38" s="1" t="s">
        <v>11</v>
      </c>
      <c r="F38" s="1" t="s">
        <v>17</v>
      </c>
      <c r="G38" s="1" t="str">
        <f t="shared" si="1"/>
        <v>完了</v>
      </c>
      <c r="H38" s="18"/>
    </row>
    <row r="39" spans="2:8" x14ac:dyDescent="0.4">
      <c r="B39" s="55" t="s">
        <v>31</v>
      </c>
      <c r="C39" s="1">
        <v>2</v>
      </c>
      <c r="D39" s="1"/>
      <c r="E39" s="1" t="s">
        <v>11</v>
      </c>
      <c r="F39" s="1" t="s">
        <v>17</v>
      </c>
      <c r="G39" s="1" t="str">
        <f t="shared" si="1"/>
        <v>未完了</v>
      </c>
      <c r="H39" s="18"/>
    </row>
    <row r="40" spans="2:8" x14ac:dyDescent="0.4">
      <c r="B40" s="55" t="s">
        <v>32</v>
      </c>
      <c r="C40" s="1">
        <v>7</v>
      </c>
      <c r="D40" s="1"/>
      <c r="E40" s="1" t="s">
        <v>11</v>
      </c>
      <c r="F40" s="1" t="s">
        <v>17</v>
      </c>
      <c r="G40" s="1" t="str">
        <f t="shared" si="1"/>
        <v>未完了</v>
      </c>
      <c r="H40" s="18"/>
    </row>
    <row r="41" spans="2:8" x14ac:dyDescent="0.4">
      <c r="B41" s="55" t="s">
        <v>33</v>
      </c>
      <c r="C41" s="1">
        <v>3</v>
      </c>
      <c r="D41" s="1"/>
      <c r="E41" s="1" t="s">
        <v>11</v>
      </c>
      <c r="F41" s="1" t="s">
        <v>17</v>
      </c>
      <c r="G41" s="1" t="str">
        <f t="shared" si="1"/>
        <v>未完了</v>
      </c>
      <c r="H41" s="18"/>
    </row>
    <row r="42" spans="2:8" x14ac:dyDescent="0.4">
      <c r="B42" s="14" t="s">
        <v>34</v>
      </c>
      <c r="C42" s="1"/>
      <c r="D42" s="1"/>
      <c r="E42" s="1"/>
      <c r="F42" s="1" t="s">
        <v>26</v>
      </c>
      <c r="G42" s="1" t="s">
        <v>112</v>
      </c>
      <c r="H42" s="18"/>
    </row>
    <row r="43" spans="2:8" x14ac:dyDescent="0.4">
      <c r="B43" s="14" t="s">
        <v>75</v>
      </c>
      <c r="C43" s="1">
        <v>1</v>
      </c>
      <c r="D43" s="1"/>
      <c r="E43" s="1" t="s">
        <v>29</v>
      </c>
      <c r="F43" s="1" t="s">
        <v>26</v>
      </c>
      <c r="G43" s="1" t="str">
        <f t="shared" si="1"/>
        <v>未完了</v>
      </c>
      <c r="H43" s="18"/>
    </row>
    <row r="44" spans="2:8" x14ac:dyDescent="0.4">
      <c r="B44" s="14" t="s">
        <v>76</v>
      </c>
      <c r="C44" s="1">
        <v>1</v>
      </c>
      <c r="D44" s="1"/>
      <c r="E44" s="1" t="s">
        <v>29</v>
      </c>
      <c r="F44" s="1" t="s">
        <v>26</v>
      </c>
      <c r="G44" s="1" t="str">
        <f t="shared" si="1"/>
        <v>未完了</v>
      </c>
      <c r="H44" s="18"/>
    </row>
    <row r="45" spans="2:8" x14ac:dyDescent="0.4">
      <c r="B45" s="14" t="s">
        <v>60</v>
      </c>
      <c r="C45" s="1">
        <v>1</v>
      </c>
      <c r="D45" s="1"/>
      <c r="E45" s="1" t="s">
        <v>29</v>
      </c>
      <c r="F45" s="1" t="s">
        <v>26</v>
      </c>
      <c r="G45" s="1" t="str">
        <f t="shared" si="1"/>
        <v>未完了</v>
      </c>
      <c r="H45" s="18"/>
    </row>
    <row r="46" spans="2:8" x14ac:dyDescent="0.4">
      <c r="B46" s="14" t="s">
        <v>61</v>
      </c>
      <c r="C46" s="1">
        <v>2</v>
      </c>
      <c r="D46" s="1"/>
      <c r="E46" s="1" t="s">
        <v>107</v>
      </c>
      <c r="F46" s="1" t="s">
        <v>26</v>
      </c>
      <c r="G46" s="1" t="str">
        <f t="shared" si="1"/>
        <v>未完了</v>
      </c>
      <c r="H46" s="18" t="s">
        <v>108</v>
      </c>
    </row>
    <row r="47" spans="2:8" x14ac:dyDescent="0.4">
      <c r="B47" s="35" t="s">
        <v>62</v>
      </c>
      <c r="C47" s="1">
        <v>2</v>
      </c>
      <c r="D47" s="1"/>
      <c r="E47" s="1" t="s">
        <v>107</v>
      </c>
      <c r="F47" s="1" t="s">
        <v>26</v>
      </c>
      <c r="G47" s="1" t="str">
        <f t="shared" si="1"/>
        <v>未完了</v>
      </c>
      <c r="H47" s="18" t="s">
        <v>108</v>
      </c>
    </row>
    <row r="48" spans="2:8" x14ac:dyDescent="0.4">
      <c r="B48" s="15" t="s">
        <v>35</v>
      </c>
      <c r="C48" s="1"/>
      <c r="D48" s="1"/>
      <c r="E48" s="1"/>
      <c r="F48" s="1" t="s">
        <v>90</v>
      </c>
      <c r="G48" s="1" t="s">
        <v>112</v>
      </c>
      <c r="H48" s="18"/>
    </row>
    <row r="49" spans="2:8" x14ac:dyDescent="0.4">
      <c r="B49" s="15" t="s">
        <v>32</v>
      </c>
      <c r="C49" s="1">
        <v>0.5</v>
      </c>
      <c r="D49" s="1"/>
      <c r="E49" s="1" t="s">
        <v>11</v>
      </c>
      <c r="F49" s="1" t="s">
        <v>17</v>
      </c>
      <c r="G49" s="1" t="str">
        <f t="shared" si="1"/>
        <v>未完了</v>
      </c>
      <c r="H49" s="18"/>
    </row>
    <row r="50" spans="2:8" x14ac:dyDescent="0.4">
      <c r="B50" s="15" t="s">
        <v>36</v>
      </c>
      <c r="C50" s="1">
        <v>0.5</v>
      </c>
      <c r="D50" s="1"/>
      <c r="E50" s="1" t="s">
        <v>11</v>
      </c>
      <c r="F50" s="1" t="s">
        <v>17</v>
      </c>
      <c r="G50" s="1" t="str">
        <f t="shared" si="1"/>
        <v>未完了</v>
      </c>
      <c r="H50" s="18"/>
    </row>
    <row r="51" spans="2:8" x14ac:dyDescent="0.4">
      <c r="B51" s="15" t="s">
        <v>63</v>
      </c>
      <c r="C51" s="1">
        <v>0.5</v>
      </c>
      <c r="D51" s="1"/>
      <c r="E51" s="1" t="s">
        <v>11</v>
      </c>
      <c r="F51" s="1" t="s">
        <v>17</v>
      </c>
      <c r="G51" s="1" t="str">
        <f t="shared" si="1"/>
        <v>未完了</v>
      </c>
      <c r="H51" s="18"/>
    </row>
    <row r="52" spans="2:8" x14ac:dyDescent="0.4">
      <c r="B52" s="16" t="s">
        <v>37</v>
      </c>
      <c r="C52" s="1"/>
      <c r="D52" s="1"/>
      <c r="E52" s="1"/>
      <c r="F52" s="1" t="s">
        <v>90</v>
      </c>
      <c r="G52" s="1" t="s">
        <v>112</v>
      </c>
      <c r="H52" s="18"/>
    </row>
    <row r="53" spans="2:8" x14ac:dyDescent="0.4">
      <c r="B53" s="16" t="s">
        <v>98</v>
      </c>
      <c r="C53" s="1">
        <v>0.5</v>
      </c>
      <c r="D53" s="1"/>
      <c r="E53" s="1" t="s">
        <v>29</v>
      </c>
      <c r="F53" s="1" t="s">
        <v>90</v>
      </c>
      <c r="G53" s="1" t="str">
        <f t="shared" si="1"/>
        <v>未完了</v>
      </c>
      <c r="H53" s="18"/>
    </row>
    <row r="54" spans="2:8" x14ac:dyDescent="0.4">
      <c r="B54" s="16" t="s">
        <v>99</v>
      </c>
      <c r="C54" s="1">
        <v>0.5</v>
      </c>
      <c r="D54" s="1"/>
      <c r="E54" s="1" t="s">
        <v>106</v>
      </c>
      <c r="F54" s="1" t="s">
        <v>90</v>
      </c>
      <c r="G54" s="1" t="str">
        <f t="shared" si="1"/>
        <v>未完了</v>
      </c>
      <c r="H54" s="18"/>
    </row>
    <row r="55" spans="2:8" x14ac:dyDescent="0.4">
      <c r="B55" s="16" t="s">
        <v>100</v>
      </c>
      <c r="C55" s="1">
        <v>0.5</v>
      </c>
      <c r="D55" s="1"/>
      <c r="E55" s="1" t="s">
        <v>107</v>
      </c>
      <c r="F55" s="1" t="s">
        <v>90</v>
      </c>
      <c r="G55" s="1" t="str">
        <f t="shared" si="1"/>
        <v>未完了</v>
      </c>
      <c r="H55" s="18"/>
    </row>
    <row r="56" spans="2:8" x14ac:dyDescent="0.4">
      <c r="B56" s="16" t="s">
        <v>101</v>
      </c>
      <c r="C56" s="1">
        <v>0.5</v>
      </c>
      <c r="D56" s="1"/>
      <c r="E56" s="1" t="s">
        <v>29</v>
      </c>
      <c r="F56" s="1" t="s">
        <v>90</v>
      </c>
      <c r="G56" s="1" t="str">
        <f t="shared" si="1"/>
        <v>未完了</v>
      </c>
      <c r="H56" s="18"/>
    </row>
    <row r="57" spans="2:8" x14ac:dyDescent="0.4">
      <c r="B57" s="17" t="s">
        <v>38</v>
      </c>
      <c r="C57" s="1"/>
      <c r="D57" s="1"/>
      <c r="E57" s="1"/>
      <c r="F57" s="1" t="s">
        <v>90</v>
      </c>
      <c r="G57" s="1" t="s">
        <v>112</v>
      </c>
      <c r="H57" s="18"/>
    </row>
    <row r="58" spans="2:8" x14ac:dyDescent="0.4">
      <c r="B58" s="17" t="s">
        <v>72</v>
      </c>
      <c r="C58" s="1">
        <v>3</v>
      </c>
      <c r="D58" s="1"/>
      <c r="E58" s="1" t="s">
        <v>29</v>
      </c>
      <c r="F58" s="1" t="s">
        <v>90</v>
      </c>
      <c r="G58" s="1" t="str">
        <f t="shared" si="1"/>
        <v>未完了</v>
      </c>
      <c r="H58" s="18"/>
    </row>
    <row r="59" spans="2:8" x14ac:dyDescent="0.4">
      <c r="B59" s="17" t="s">
        <v>102</v>
      </c>
      <c r="C59" s="1">
        <v>2</v>
      </c>
      <c r="D59" s="1"/>
      <c r="E59" s="1" t="s">
        <v>109</v>
      </c>
      <c r="F59" s="1" t="s">
        <v>90</v>
      </c>
      <c r="G59" s="1" t="str">
        <f t="shared" si="1"/>
        <v>未完了</v>
      </c>
      <c r="H59" s="18"/>
    </row>
    <row r="60" spans="2:8" x14ac:dyDescent="0.4">
      <c r="B60" s="17" t="s">
        <v>103</v>
      </c>
      <c r="C60" s="1">
        <v>3</v>
      </c>
      <c r="D60" s="1"/>
      <c r="E60" s="1" t="s">
        <v>107</v>
      </c>
      <c r="F60" s="1" t="s">
        <v>90</v>
      </c>
      <c r="G60" s="1" t="str">
        <f t="shared" si="1"/>
        <v>未完了</v>
      </c>
      <c r="H60" s="18"/>
    </row>
    <row r="61" spans="2:8" x14ac:dyDescent="0.4">
      <c r="B61" s="56" t="s">
        <v>39</v>
      </c>
      <c r="C61" s="1"/>
      <c r="D61" s="1"/>
      <c r="E61" s="1"/>
      <c r="F61" s="1" t="s">
        <v>16</v>
      </c>
      <c r="G61" s="1" t="s">
        <v>112</v>
      </c>
      <c r="H61" s="18"/>
    </row>
    <row r="62" spans="2:8" x14ac:dyDescent="0.4">
      <c r="B62" s="56" t="s">
        <v>64</v>
      </c>
      <c r="C62" s="1">
        <v>6</v>
      </c>
      <c r="D62" s="1"/>
      <c r="E62" s="1" t="s">
        <v>29</v>
      </c>
      <c r="F62" s="1" t="s">
        <v>16</v>
      </c>
      <c r="G62" s="1" t="str">
        <f t="shared" ref="G62:G99" si="2">IF(D62 &gt; 0,"完了","未完了")</f>
        <v>未完了</v>
      </c>
      <c r="H62" s="18" t="s">
        <v>125</v>
      </c>
    </row>
    <row r="63" spans="2:8" x14ac:dyDescent="0.4">
      <c r="B63" s="56" t="s">
        <v>65</v>
      </c>
      <c r="C63" s="1">
        <v>6</v>
      </c>
      <c r="D63" s="1"/>
      <c r="E63" s="1" t="s">
        <v>29</v>
      </c>
      <c r="F63" s="1" t="s">
        <v>16</v>
      </c>
      <c r="G63" s="1" t="str">
        <f t="shared" si="2"/>
        <v>未完了</v>
      </c>
      <c r="H63" s="18"/>
    </row>
    <row r="64" spans="2:8" x14ac:dyDescent="0.4">
      <c r="B64" s="56" t="s">
        <v>66</v>
      </c>
      <c r="C64" s="1">
        <v>8</v>
      </c>
      <c r="D64" s="1"/>
      <c r="E64" s="1" t="s">
        <v>29</v>
      </c>
      <c r="F64" s="1" t="s">
        <v>16</v>
      </c>
      <c r="G64" s="1" t="str">
        <f t="shared" si="2"/>
        <v>未完了</v>
      </c>
      <c r="H64" s="18"/>
    </row>
    <row r="65" spans="2:8" x14ac:dyDescent="0.4">
      <c r="B65" s="56" t="s">
        <v>94</v>
      </c>
      <c r="C65" s="1">
        <v>5</v>
      </c>
      <c r="D65" s="1"/>
      <c r="E65" s="1" t="s">
        <v>107</v>
      </c>
      <c r="F65" s="1" t="s">
        <v>16</v>
      </c>
      <c r="G65" s="1" t="str">
        <f t="shared" si="2"/>
        <v>未完了</v>
      </c>
      <c r="H65" s="18"/>
    </row>
    <row r="66" spans="2:8" x14ac:dyDescent="0.4">
      <c r="B66" s="56" t="s">
        <v>95</v>
      </c>
      <c r="C66" s="1">
        <v>5</v>
      </c>
      <c r="D66" s="1"/>
      <c r="E66" s="1" t="s">
        <v>107</v>
      </c>
      <c r="F66" s="1" t="s">
        <v>16</v>
      </c>
      <c r="G66" s="1" t="str">
        <f t="shared" si="2"/>
        <v>未完了</v>
      </c>
      <c r="H66" s="18"/>
    </row>
    <row r="67" spans="2:8" x14ac:dyDescent="0.4">
      <c r="B67" s="57" t="s">
        <v>40</v>
      </c>
      <c r="C67" s="1"/>
      <c r="D67" s="1"/>
      <c r="E67" s="1"/>
      <c r="F67" s="1" t="s">
        <v>26</v>
      </c>
      <c r="G67" s="1" t="str">
        <f t="shared" si="2"/>
        <v>未完了</v>
      </c>
      <c r="H67" s="18"/>
    </row>
    <row r="68" spans="2:8" x14ac:dyDescent="0.4">
      <c r="B68" s="58" t="s">
        <v>130</v>
      </c>
      <c r="C68" s="1">
        <v>7</v>
      </c>
      <c r="D68" s="1">
        <v>8</v>
      </c>
      <c r="E68" s="1" t="s">
        <v>29</v>
      </c>
      <c r="F68" s="1" t="s">
        <v>26</v>
      </c>
      <c r="G68" s="1" t="str">
        <f t="shared" si="2"/>
        <v>完了</v>
      </c>
      <c r="H68" s="18"/>
    </row>
    <row r="69" spans="2:8" x14ac:dyDescent="0.4">
      <c r="B69" s="58" t="s">
        <v>136</v>
      </c>
      <c r="C69" s="1">
        <v>3</v>
      </c>
      <c r="D69" s="1">
        <v>3</v>
      </c>
      <c r="E69" s="1" t="s">
        <v>29</v>
      </c>
      <c r="F69" s="1" t="s">
        <v>89</v>
      </c>
      <c r="G69" s="1" t="str">
        <f>IF(D69 &gt; 0,"完了","未完了")</f>
        <v>完了</v>
      </c>
      <c r="H69" s="18"/>
    </row>
    <row r="70" spans="2:8" x14ac:dyDescent="0.4">
      <c r="B70" s="58" t="s">
        <v>137</v>
      </c>
      <c r="C70" s="1">
        <v>2</v>
      </c>
      <c r="D70" s="1">
        <v>2</v>
      </c>
      <c r="E70" s="1" t="s">
        <v>29</v>
      </c>
      <c r="F70" s="1" t="s">
        <v>89</v>
      </c>
      <c r="G70" s="1" t="str">
        <f>IF(D70 &gt; 0,"完了","未完了")</f>
        <v>完了</v>
      </c>
      <c r="H70" s="18"/>
    </row>
    <row r="71" spans="2:8" x14ac:dyDescent="0.4">
      <c r="B71" s="58" t="s">
        <v>138</v>
      </c>
      <c r="C71" s="1">
        <v>0</v>
      </c>
      <c r="D71" s="1"/>
      <c r="E71" s="1" t="s">
        <v>107</v>
      </c>
      <c r="F71" s="1" t="s">
        <v>89</v>
      </c>
      <c r="G71" s="1" t="str">
        <f>IF(D71 &gt; 0,"完了","未完了")</f>
        <v>未完了</v>
      </c>
      <c r="H71" s="18"/>
    </row>
    <row r="72" spans="2:8" x14ac:dyDescent="0.4">
      <c r="B72" s="58" t="s">
        <v>139</v>
      </c>
      <c r="C72" s="1">
        <v>5</v>
      </c>
      <c r="D72" s="1"/>
      <c r="E72" s="1" t="s">
        <v>29</v>
      </c>
      <c r="F72" s="1" t="s">
        <v>26</v>
      </c>
      <c r="G72" s="1" t="str">
        <f>IF(D72 &gt; 0,"完了","未完了")</f>
        <v>未完了</v>
      </c>
      <c r="H72" s="18"/>
    </row>
    <row r="73" spans="2:8" x14ac:dyDescent="0.4">
      <c r="B73" s="58" t="s">
        <v>140</v>
      </c>
      <c r="C73" s="1">
        <v>2</v>
      </c>
      <c r="D73" s="1"/>
      <c r="E73" s="1" t="s">
        <v>109</v>
      </c>
      <c r="F73" s="1" t="s">
        <v>90</v>
      </c>
      <c r="G73" s="1" t="str">
        <f>IF(D73 &gt; 0,"完了","未完了")</f>
        <v>未完了</v>
      </c>
      <c r="H73" s="18"/>
    </row>
    <row r="74" spans="2:8" x14ac:dyDescent="0.4">
      <c r="B74" s="49" t="s">
        <v>68</v>
      </c>
      <c r="C74" s="1"/>
      <c r="D74" s="1"/>
      <c r="E74" s="1"/>
      <c r="F74" s="1" t="s">
        <v>90</v>
      </c>
      <c r="G74" s="1" t="s">
        <v>112</v>
      </c>
      <c r="H74" s="18"/>
    </row>
    <row r="75" spans="2:8" x14ac:dyDescent="0.4">
      <c r="B75" s="49" t="s">
        <v>111</v>
      </c>
      <c r="C75" s="1">
        <v>4</v>
      </c>
      <c r="D75" s="1">
        <v>4</v>
      </c>
      <c r="E75" s="1" t="s">
        <v>29</v>
      </c>
      <c r="F75" s="1" t="s">
        <v>90</v>
      </c>
      <c r="G75" s="1" t="str">
        <f t="shared" si="2"/>
        <v>完了</v>
      </c>
      <c r="H75" s="18"/>
    </row>
    <row r="76" spans="2:8" x14ac:dyDescent="0.4">
      <c r="B76" s="49" t="s">
        <v>69</v>
      </c>
      <c r="C76" s="1">
        <v>1</v>
      </c>
      <c r="D76" s="1"/>
      <c r="E76" s="1" t="s">
        <v>106</v>
      </c>
      <c r="F76" s="1" t="s">
        <v>90</v>
      </c>
      <c r="G76" s="1" t="str">
        <f t="shared" si="2"/>
        <v>未完了</v>
      </c>
      <c r="H76" s="18"/>
    </row>
    <row r="77" spans="2:8" x14ac:dyDescent="0.4">
      <c r="B77" s="49" t="s">
        <v>70</v>
      </c>
      <c r="C77" s="1">
        <v>1</v>
      </c>
      <c r="D77" s="1"/>
      <c r="E77" s="1" t="s">
        <v>106</v>
      </c>
      <c r="F77" s="1" t="s">
        <v>90</v>
      </c>
      <c r="G77" s="1" t="str">
        <f t="shared" si="2"/>
        <v>未完了</v>
      </c>
      <c r="H77" s="18"/>
    </row>
    <row r="78" spans="2:8" x14ac:dyDescent="0.4">
      <c r="B78" s="49" t="s">
        <v>117</v>
      </c>
      <c r="C78" s="1">
        <v>1</v>
      </c>
      <c r="D78" s="1"/>
      <c r="E78" s="1" t="s">
        <v>29</v>
      </c>
      <c r="F78" s="1" t="s">
        <v>90</v>
      </c>
      <c r="G78" s="1" t="str">
        <f t="shared" si="2"/>
        <v>未完了</v>
      </c>
      <c r="H78" s="18"/>
    </row>
    <row r="79" spans="2:8" x14ac:dyDescent="0.4">
      <c r="B79" s="49" t="s">
        <v>71</v>
      </c>
      <c r="C79" s="1">
        <v>1</v>
      </c>
      <c r="D79" s="1"/>
      <c r="E79" s="1" t="s">
        <v>29</v>
      </c>
      <c r="F79" s="1" t="s">
        <v>90</v>
      </c>
      <c r="G79" s="1" t="str">
        <f t="shared" si="2"/>
        <v>未完了</v>
      </c>
      <c r="H79" s="18"/>
    </row>
    <row r="80" spans="2:8" x14ac:dyDescent="0.4">
      <c r="B80" s="49" t="s">
        <v>141</v>
      </c>
      <c r="C80" s="1">
        <v>3</v>
      </c>
      <c r="D80" s="1"/>
      <c r="E80" s="1" t="s">
        <v>107</v>
      </c>
      <c r="F80" s="1" t="s">
        <v>90</v>
      </c>
      <c r="G80" s="1" t="str">
        <f>IF(D80 &gt; 0,"完了","未完了")</f>
        <v>未完了</v>
      </c>
      <c r="H80" s="18"/>
    </row>
    <row r="81" spans="2:8" x14ac:dyDescent="0.4">
      <c r="B81" s="49" t="s">
        <v>142</v>
      </c>
      <c r="C81" s="1">
        <v>1</v>
      </c>
      <c r="D81" s="1"/>
      <c r="E81" s="1" t="s">
        <v>107</v>
      </c>
      <c r="F81" s="1" t="s">
        <v>90</v>
      </c>
      <c r="G81" s="1" t="str">
        <f>IF(D81 &gt; 0,"完了","未完了")</f>
        <v>未完了</v>
      </c>
      <c r="H81" s="18"/>
    </row>
    <row r="82" spans="2:8" x14ac:dyDescent="0.4">
      <c r="B82" s="17" t="s">
        <v>41</v>
      </c>
      <c r="C82" s="1"/>
      <c r="D82" s="1"/>
      <c r="E82" s="1"/>
      <c r="F82" s="1" t="s">
        <v>26</v>
      </c>
      <c r="G82" s="1" t="s">
        <v>112</v>
      </c>
      <c r="H82" s="18"/>
    </row>
    <row r="83" spans="2:8" x14ac:dyDescent="0.4">
      <c r="B83" s="17" t="s">
        <v>104</v>
      </c>
      <c r="C83" s="1">
        <v>1.5</v>
      </c>
      <c r="D83" s="1">
        <v>1</v>
      </c>
      <c r="E83" s="1" t="s">
        <v>29</v>
      </c>
      <c r="F83" s="1" t="s">
        <v>26</v>
      </c>
      <c r="G83" s="1" t="str">
        <f t="shared" si="2"/>
        <v>完了</v>
      </c>
      <c r="H83" s="18"/>
    </row>
    <row r="84" spans="2:8" x14ac:dyDescent="0.4">
      <c r="B84" s="34" t="s">
        <v>105</v>
      </c>
      <c r="C84" s="10">
        <v>1.5</v>
      </c>
      <c r="D84" s="10">
        <v>1</v>
      </c>
      <c r="E84" s="10" t="s">
        <v>106</v>
      </c>
      <c r="F84" s="10" t="s">
        <v>26</v>
      </c>
      <c r="G84" s="10" t="str">
        <f t="shared" si="2"/>
        <v>完了</v>
      </c>
      <c r="H84" s="20"/>
    </row>
    <row r="85" spans="2:8" x14ac:dyDescent="0.4">
      <c r="B85" s="54" t="s">
        <v>143</v>
      </c>
      <c r="C85" s="1">
        <v>6</v>
      </c>
      <c r="D85" s="1">
        <v>6</v>
      </c>
      <c r="E85" s="1" t="s">
        <v>29</v>
      </c>
      <c r="F85" s="1" t="s">
        <v>89</v>
      </c>
      <c r="G85" s="1" t="str">
        <f>IF(D85 &gt; 0,"完了","未完了")</f>
        <v>完了</v>
      </c>
      <c r="H85" s="18"/>
    </row>
    <row r="86" spans="2:8" x14ac:dyDescent="0.4">
      <c r="B86" s="54" t="s">
        <v>144</v>
      </c>
      <c r="C86" s="1">
        <v>2</v>
      </c>
      <c r="D86" s="1"/>
      <c r="E86" s="1" t="s">
        <v>107</v>
      </c>
      <c r="F86" s="1" t="s">
        <v>90</v>
      </c>
      <c r="G86" s="1" t="str">
        <f>IF(D86 &gt; 0,"完了","未完了")</f>
        <v>未完了</v>
      </c>
      <c r="H86" s="18"/>
    </row>
    <row r="87" spans="2:8" x14ac:dyDescent="0.4">
      <c r="B87" s="68" t="s">
        <v>113</v>
      </c>
      <c r="C87" s="10"/>
      <c r="D87" s="10"/>
      <c r="E87" s="10"/>
      <c r="F87" s="10" t="s">
        <v>89</v>
      </c>
      <c r="G87" s="1" t="s">
        <v>121</v>
      </c>
      <c r="H87" s="20"/>
    </row>
    <row r="88" spans="2:8" x14ac:dyDescent="0.4">
      <c r="B88" s="69" t="s">
        <v>116</v>
      </c>
      <c r="C88" s="1">
        <v>3</v>
      </c>
      <c r="D88" s="1">
        <v>5</v>
      </c>
      <c r="E88" s="10" t="s">
        <v>29</v>
      </c>
      <c r="F88" s="10" t="s">
        <v>89</v>
      </c>
      <c r="G88" s="10" t="str">
        <f t="shared" si="2"/>
        <v>完了</v>
      </c>
      <c r="H88" s="18"/>
    </row>
    <row r="89" spans="2:8" x14ac:dyDescent="0.4">
      <c r="B89" s="69" t="s">
        <v>114</v>
      </c>
      <c r="C89" s="10">
        <v>1</v>
      </c>
      <c r="D89" s="10">
        <v>1</v>
      </c>
      <c r="E89" s="10" t="s">
        <v>29</v>
      </c>
      <c r="F89" s="10" t="s">
        <v>89</v>
      </c>
      <c r="G89" s="10" t="str">
        <f t="shared" si="2"/>
        <v>完了</v>
      </c>
      <c r="H89" s="20" t="s">
        <v>115</v>
      </c>
    </row>
    <row r="90" spans="2:8" x14ac:dyDescent="0.4">
      <c r="B90" s="69" t="s">
        <v>122</v>
      </c>
      <c r="C90" s="1">
        <v>5</v>
      </c>
      <c r="D90" s="1">
        <v>5</v>
      </c>
      <c r="E90" s="10" t="s">
        <v>29</v>
      </c>
      <c r="F90" s="1" t="s">
        <v>89</v>
      </c>
      <c r="G90" s="10" t="str">
        <f t="shared" si="2"/>
        <v>完了</v>
      </c>
      <c r="H90" s="18"/>
    </row>
    <row r="91" spans="2:8" x14ac:dyDescent="0.4">
      <c r="B91" s="69" t="s">
        <v>126</v>
      </c>
      <c r="C91" s="1">
        <v>1.5</v>
      </c>
      <c r="D91" s="1"/>
      <c r="E91" s="1" t="s">
        <v>29</v>
      </c>
      <c r="F91" s="1" t="s">
        <v>26</v>
      </c>
      <c r="G91" s="10" t="str">
        <f t="shared" si="2"/>
        <v>未完了</v>
      </c>
      <c r="H91" s="18"/>
    </row>
    <row r="92" spans="2:8" x14ac:dyDescent="0.4">
      <c r="B92" s="74" t="s">
        <v>145</v>
      </c>
      <c r="C92" s="1">
        <v>6</v>
      </c>
      <c r="D92" s="1">
        <v>6</v>
      </c>
      <c r="E92" s="1" t="s">
        <v>29</v>
      </c>
      <c r="F92" s="1" t="s">
        <v>89</v>
      </c>
      <c r="G92" s="1" t="str">
        <f>IF(D92 &gt; 0,"完了","未完了")</f>
        <v>完了</v>
      </c>
      <c r="H92" s="18"/>
    </row>
    <row r="93" spans="2:8" x14ac:dyDescent="0.4">
      <c r="B93" s="71" t="s">
        <v>123</v>
      </c>
      <c r="C93" s="1"/>
      <c r="D93" s="1"/>
      <c r="E93" s="1"/>
      <c r="F93" s="1"/>
      <c r="G93" s="10" t="s">
        <v>112</v>
      </c>
      <c r="H93" s="18"/>
    </row>
    <row r="94" spans="2:8" x14ac:dyDescent="0.4">
      <c r="B94" s="71" t="s">
        <v>124</v>
      </c>
      <c r="C94" s="1">
        <v>5</v>
      </c>
      <c r="D94" s="1"/>
      <c r="E94" s="1" t="s">
        <v>29</v>
      </c>
      <c r="F94" s="1" t="s">
        <v>26</v>
      </c>
      <c r="G94" s="10" t="str">
        <f t="shared" si="2"/>
        <v>未完了</v>
      </c>
      <c r="H94" s="18"/>
    </row>
    <row r="95" spans="2:8" x14ac:dyDescent="0.4">
      <c r="B95" s="71" t="s">
        <v>146</v>
      </c>
      <c r="C95" s="1">
        <v>5</v>
      </c>
      <c r="D95" s="1">
        <v>5</v>
      </c>
      <c r="E95" s="1" t="s">
        <v>29</v>
      </c>
      <c r="F95" s="1" t="s">
        <v>89</v>
      </c>
      <c r="G95" s="1" t="str">
        <f>IF(D95 &gt; 0,"完了","未完了")</f>
        <v>完了</v>
      </c>
      <c r="H95" s="18"/>
    </row>
    <row r="96" spans="2:8" x14ac:dyDescent="0.4">
      <c r="B96" s="71" t="s">
        <v>153</v>
      </c>
      <c r="C96" s="1">
        <v>1</v>
      </c>
      <c r="D96" s="1"/>
      <c r="E96" s="1" t="s">
        <v>106</v>
      </c>
      <c r="F96" s="1" t="s">
        <v>26</v>
      </c>
      <c r="G96" s="1" t="str">
        <f>IF(D96 &gt; 0,"完了","未完了")</f>
        <v>未完了</v>
      </c>
      <c r="H96" s="18"/>
    </row>
    <row r="97" spans="2:8" x14ac:dyDescent="0.4">
      <c r="B97" s="72" t="s">
        <v>127</v>
      </c>
      <c r="C97" s="10"/>
      <c r="D97" s="10"/>
      <c r="E97" s="1"/>
      <c r="F97" s="10"/>
      <c r="G97" s="10" t="s">
        <v>112</v>
      </c>
      <c r="H97" s="20"/>
    </row>
    <row r="98" spans="2:8" x14ac:dyDescent="0.4">
      <c r="B98" s="72" t="s">
        <v>128</v>
      </c>
      <c r="C98" s="10">
        <v>3</v>
      </c>
      <c r="D98" s="10"/>
      <c r="E98" s="1" t="s">
        <v>29</v>
      </c>
      <c r="F98" s="10" t="s">
        <v>26</v>
      </c>
      <c r="G98" s="10" t="str">
        <f t="shared" si="2"/>
        <v>未完了</v>
      </c>
      <c r="H98" s="20"/>
    </row>
    <row r="99" spans="2:8" x14ac:dyDescent="0.4">
      <c r="B99" s="72" t="s">
        <v>129</v>
      </c>
      <c r="C99" s="10">
        <v>2</v>
      </c>
      <c r="D99" s="10"/>
      <c r="E99" s="1" t="s">
        <v>29</v>
      </c>
      <c r="F99" s="10" t="s">
        <v>26</v>
      </c>
      <c r="G99" s="10" t="str">
        <f t="shared" si="2"/>
        <v>未完了</v>
      </c>
      <c r="H99" s="20"/>
    </row>
    <row r="100" spans="2:8" x14ac:dyDescent="0.4">
      <c r="B100" s="75" t="s">
        <v>147</v>
      </c>
      <c r="C100" s="1"/>
      <c r="D100" s="1"/>
      <c r="E100" s="1"/>
      <c r="F100" s="1" t="s">
        <v>89</v>
      </c>
      <c r="G100" s="1" t="s">
        <v>10</v>
      </c>
      <c r="H100" s="18"/>
    </row>
    <row r="101" spans="2:8" x14ac:dyDescent="0.4">
      <c r="B101" s="75" t="s">
        <v>148</v>
      </c>
      <c r="C101" s="1">
        <v>2</v>
      </c>
      <c r="D101" s="1">
        <v>2</v>
      </c>
      <c r="E101" s="1" t="s">
        <v>29</v>
      </c>
      <c r="F101" s="1" t="s">
        <v>89</v>
      </c>
      <c r="G101" s="1" t="str">
        <f>IF(D101 &gt; 0,"完了","未完了")</f>
        <v>完了</v>
      </c>
      <c r="H101" s="18"/>
    </row>
    <row r="102" spans="2:8" x14ac:dyDescent="0.4">
      <c r="B102" s="75" t="s">
        <v>149</v>
      </c>
      <c r="C102" s="1">
        <v>0.5</v>
      </c>
      <c r="D102" s="1"/>
      <c r="E102" s="1" t="s">
        <v>109</v>
      </c>
      <c r="F102" s="1" t="s">
        <v>26</v>
      </c>
      <c r="G102" s="1" t="str">
        <f>IF(D102 &gt; 0,"完了","未完了")</f>
        <v>未完了</v>
      </c>
      <c r="H102" s="18"/>
    </row>
    <row r="103" spans="2:8" x14ac:dyDescent="0.4">
      <c r="B103" s="76" t="s">
        <v>150</v>
      </c>
      <c r="C103" s="1"/>
      <c r="D103" s="1"/>
      <c r="E103" s="1"/>
      <c r="F103" s="1" t="s">
        <v>89</v>
      </c>
      <c r="G103" s="1" t="s">
        <v>151</v>
      </c>
      <c r="H103" s="18"/>
    </row>
    <row r="104" spans="2:8" x14ac:dyDescent="0.4">
      <c r="B104" s="76" t="s">
        <v>152</v>
      </c>
      <c r="C104" s="1">
        <v>5</v>
      </c>
      <c r="D104" s="1">
        <v>5</v>
      </c>
      <c r="E104" s="1" t="s">
        <v>29</v>
      </c>
      <c r="F104" s="1" t="s">
        <v>89</v>
      </c>
      <c r="G104" s="1" t="str">
        <f>IF(D104 &gt; 0,"完了","未完了")</f>
        <v>完了</v>
      </c>
      <c r="H104" s="18"/>
    </row>
  </sheetData>
  <phoneticPr fontId="1"/>
  <dataValidations count="2">
    <dataValidation type="list" allowBlank="1" showInputMessage="1" showErrorMessage="1" sqref="E4:E86 E88:E104" xr:uid="{8019EF25-1BBC-4ED5-A76E-ECC3E7C9CBEF}">
      <formula1>"S,A,B,C"</formula1>
    </dataValidation>
    <dataValidation type="list" allowBlank="1" showInputMessage="1" showErrorMessage="1" sqref="F3:F104" xr:uid="{22396529-74DD-4B6C-BE96-4F5A9E119436}">
      <formula1>"プロト,アルファ,ベータ,マスター"</formula1>
    </dataValidation>
  </dataValidations>
  <pageMargins left="0.7" right="0.7" top="0.75" bottom="0.75" header="0.3" footer="0.3"/>
  <ignoredErrors>
    <ignoredError sqref="L8" evalErro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2D35-AFCC-4124-BE89-E7B1979CBA2E}">
  <dimension ref="A3:J42"/>
  <sheetViews>
    <sheetView workbookViewId="0">
      <selection activeCell="I18" sqref="I18"/>
    </sheetView>
  </sheetViews>
  <sheetFormatPr defaultRowHeight="18.75" x14ac:dyDescent="0.4"/>
  <cols>
    <col min="9" max="9" width="19.25" bestFit="1" customWidth="1"/>
  </cols>
  <sheetData>
    <row r="3" spans="1:10" x14ac:dyDescent="0.4">
      <c r="A3" t="s">
        <v>77</v>
      </c>
    </row>
    <row r="4" spans="1:10" x14ac:dyDescent="0.4">
      <c r="A4" s="1" t="s">
        <v>82</v>
      </c>
      <c r="B4" s="1" t="s">
        <v>83</v>
      </c>
      <c r="C4" s="1" t="s">
        <v>84</v>
      </c>
      <c r="D4" s="1" t="s">
        <v>85</v>
      </c>
      <c r="E4" s="1" t="s">
        <v>86</v>
      </c>
      <c r="F4" s="1" t="s">
        <v>87</v>
      </c>
      <c r="G4" s="1" t="s">
        <v>88</v>
      </c>
    </row>
    <row r="5" spans="1:10" x14ac:dyDescent="0.4">
      <c r="A5" s="1"/>
      <c r="B5" s="1"/>
      <c r="C5" s="1">
        <v>1</v>
      </c>
      <c r="D5" s="1">
        <f t="shared" ref="D5:G8" si="0">C5+1</f>
        <v>2</v>
      </c>
      <c r="E5" s="1">
        <f t="shared" si="0"/>
        <v>3</v>
      </c>
      <c r="F5" s="1">
        <f t="shared" si="0"/>
        <v>4</v>
      </c>
      <c r="G5" s="1">
        <f t="shared" si="0"/>
        <v>5</v>
      </c>
    </row>
    <row r="6" spans="1:10" x14ac:dyDescent="0.4">
      <c r="A6" s="1">
        <f>G5+1</f>
        <v>6</v>
      </c>
      <c r="B6" s="1">
        <f t="shared" ref="B6:C9" si="1">A6+1</f>
        <v>7</v>
      </c>
      <c r="C6" s="1">
        <f t="shared" si="1"/>
        <v>8</v>
      </c>
      <c r="D6" s="1">
        <f t="shared" si="0"/>
        <v>9</v>
      </c>
      <c r="E6" s="1">
        <f t="shared" si="0"/>
        <v>10</v>
      </c>
      <c r="F6" s="1">
        <f t="shared" si="0"/>
        <v>11</v>
      </c>
      <c r="G6" s="1">
        <f t="shared" si="0"/>
        <v>12</v>
      </c>
    </row>
    <row r="7" spans="1:10" x14ac:dyDescent="0.4">
      <c r="A7" s="1">
        <f>G6+1</f>
        <v>13</v>
      </c>
      <c r="B7" s="1">
        <f t="shared" si="1"/>
        <v>14</v>
      </c>
      <c r="C7" s="1">
        <f t="shared" si="1"/>
        <v>15</v>
      </c>
      <c r="D7" s="1">
        <f t="shared" si="0"/>
        <v>16</v>
      </c>
      <c r="E7" s="1">
        <f t="shared" si="0"/>
        <v>17</v>
      </c>
      <c r="F7" s="65">
        <f t="shared" si="0"/>
        <v>18</v>
      </c>
      <c r="G7" s="65">
        <f t="shared" si="0"/>
        <v>19</v>
      </c>
      <c r="I7" t="s">
        <v>89</v>
      </c>
      <c r="J7" s="59"/>
    </row>
    <row r="8" spans="1:10" x14ac:dyDescent="0.4">
      <c r="A8" s="65">
        <f>G7+1</f>
        <v>20</v>
      </c>
      <c r="B8" s="65">
        <f t="shared" si="1"/>
        <v>21</v>
      </c>
      <c r="C8" s="65">
        <f t="shared" si="1"/>
        <v>22</v>
      </c>
      <c r="D8" s="65">
        <f t="shared" si="0"/>
        <v>23</v>
      </c>
      <c r="E8" s="65">
        <f t="shared" si="0"/>
        <v>24</v>
      </c>
      <c r="F8" s="65">
        <f t="shared" si="0"/>
        <v>25</v>
      </c>
      <c r="G8" s="65">
        <f t="shared" si="0"/>
        <v>26</v>
      </c>
      <c r="I8" t="s">
        <v>26</v>
      </c>
      <c r="J8" s="66"/>
    </row>
    <row r="9" spans="1:10" x14ac:dyDescent="0.4">
      <c r="A9" s="65">
        <f>G8+1</f>
        <v>27</v>
      </c>
      <c r="B9" s="65">
        <f t="shared" si="1"/>
        <v>28</v>
      </c>
      <c r="C9" s="65">
        <f t="shared" si="1"/>
        <v>29</v>
      </c>
      <c r="D9" s="65">
        <f>C9+1</f>
        <v>30</v>
      </c>
      <c r="E9" s="1"/>
      <c r="F9" s="1"/>
      <c r="G9" s="1"/>
      <c r="I9" t="s">
        <v>90</v>
      </c>
      <c r="J9" s="60"/>
    </row>
    <row r="10" spans="1:10" x14ac:dyDescent="0.4">
      <c r="I10" t="s">
        <v>91</v>
      </c>
      <c r="J10" s="61"/>
    </row>
    <row r="11" spans="1:10" x14ac:dyDescent="0.4">
      <c r="A11" t="s">
        <v>78</v>
      </c>
      <c r="I11" t="s">
        <v>92</v>
      </c>
      <c r="J11" s="62"/>
    </row>
    <row r="12" spans="1:10" x14ac:dyDescent="0.4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</row>
    <row r="13" spans="1:10" x14ac:dyDescent="0.4">
      <c r="A13" s="1"/>
      <c r="B13" s="1"/>
      <c r="C13" s="1"/>
      <c r="D13" s="1"/>
      <c r="E13" s="65">
        <v>1</v>
      </c>
      <c r="F13" s="65">
        <f t="shared" ref="F13:G17" si="2">E13+1</f>
        <v>2</v>
      </c>
      <c r="G13" s="65">
        <f t="shared" si="2"/>
        <v>3</v>
      </c>
      <c r="I13" t="s">
        <v>110</v>
      </c>
      <c r="J13" s="64"/>
    </row>
    <row r="14" spans="1:10" x14ac:dyDescent="0.4">
      <c r="A14" s="65">
        <f>G13+1</f>
        <v>4</v>
      </c>
      <c r="B14" s="65">
        <f t="shared" ref="B14:E17" si="3">A14+1</f>
        <v>5</v>
      </c>
      <c r="C14" s="65">
        <f t="shared" si="3"/>
        <v>6</v>
      </c>
      <c r="D14" s="65">
        <f t="shared" si="3"/>
        <v>7</v>
      </c>
      <c r="E14" s="65">
        <f t="shared" si="3"/>
        <v>8</v>
      </c>
      <c r="F14" s="65">
        <f t="shared" si="2"/>
        <v>9</v>
      </c>
      <c r="G14" s="65">
        <f t="shared" si="2"/>
        <v>10</v>
      </c>
    </row>
    <row r="15" spans="1:10" x14ac:dyDescent="0.4">
      <c r="A15" s="65">
        <f>G14+1</f>
        <v>11</v>
      </c>
      <c r="B15" s="65">
        <f t="shared" si="3"/>
        <v>12</v>
      </c>
      <c r="C15" s="65">
        <f t="shared" si="3"/>
        <v>13</v>
      </c>
      <c r="D15" s="65">
        <f t="shared" si="3"/>
        <v>14</v>
      </c>
      <c r="E15" s="65">
        <f t="shared" si="3"/>
        <v>15</v>
      </c>
      <c r="F15" s="65">
        <f t="shared" si="2"/>
        <v>16</v>
      </c>
      <c r="G15" s="65">
        <f t="shared" si="2"/>
        <v>17</v>
      </c>
    </row>
    <row r="16" spans="1:10" x14ac:dyDescent="0.4">
      <c r="A16" s="65">
        <f>G15+1</f>
        <v>18</v>
      </c>
      <c r="B16" s="65">
        <f t="shared" si="3"/>
        <v>19</v>
      </c>
      <c r="C16" s="65">
        <f t="shared" si="3"/>
        <v>20</v>
      </c>
      <c r="D16" s="65">
        <f t="shared" si="3"/>
        <v>21</v>
      </c>
      <c r="E16" s="65">
        <f t="shared" si="3"/>
        <v>22</v>
      </c>
      <c r="F16" s="65">
        <f t="shared" si="2"/>
        <v>23</v>
      </c>
      <c r="G16" s="65">
        <f t="shared" si="2"/>
        <v>24</v>
      </c>
    </row>
    <row r="17" spans="1:7" x14ac:dyDescent="0.4">
      <c r="A17" s="65">
        <f>G16+1</f>
        <v>25</v>
      </c>
      <c r="B17" s="65">
        <f t="shared" si="3"/>
        <v>26</v>
      </c>
      <c r="C17" s="65">
        <f t="shared" si="3"/>
        <v>27</v>
      </c>
      <c r="D17" s="65">
        <f t="shared" si="3"/>
        <v>28</v>
      </c>
      <c r="E17" s="65">
        <f t="shared" si="3"/>
        <v>29</v>
      </c>
      <c r="F17" s="65">
        <f t="shared" si="2"/>
        <v>30</v>
      </c>
      <c r="G17" s="65">
        <f t="shared" si="2"/>
        <v>31</v>
      </c>
    </row>
    <row r="19" spans="1:7" x14ac:dyDescent="0.4">
      <c r="A19" t="s">
        <v>79</v>
      </c>
    </row>
    <row r="20" spans="1:7" x14ac:dyDescent="0.4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88</v>
      </c>
    </row>
    <row r="21" spans="1:7" x14ac:dyDescent="0.4">
      <c r="A21" s="66">
        <v>1</v>
      </c>
      <c r="B21" s="66">
        <f t="shared" ref="B21:G24" si="4">A21+1</f>
        <v>2</v>
      </c>
      <c r="C21" s="66">
        <f t="shared" si="4"/>
        <v>3</v>
      </c>
      <c r="D21" s="66">
        <f t="shared" si="4"/>
        <v>4</v>
      </c>
      <c r="E21" s="66">
        <f t="shared" si="4"/>
        <v>5</v>
      </c>
      <c r="F21" s="66">
        <f t="shared" si="4"/>
        <v>6</v>
      </c>
      <c r="G21" s="66">
        <f t="shared" si="4"/>
        <v>7</v>
      </c>
    </row>
    <row r="22" spans="1:7" x14ac:dyDescent="0.4">
      <c r="A22" s="66">
        <f>G21+1</f>
        <v>8</v>
      </c>
      <c r="B22" s="66">
        <f t="shared" si="4"/>
        <v>9</v>
      </c>
      <c r="C22" s="66">
        <f t="shared" si="4"/>
        <v>10</v>
      </c>
      <c r="D22" s="66">
        <f t="shared" si="4"/>
        <v>11</v>
      </c>
      <c r="E22" s="66">
        <f t="shared" si="4"/>
        <v>12</v>
      </c>
      <c r="F22" s="66">
        <f t="shared" si="4"/>
        <v>13</v>
      </c>
      <c r="G22" s="66">
        <f t="shared" si="4"/>
        <v>14</v>
      </c>
    </row>
    <row r="23" spans="1:7" x14ac:dyDescent="0.4">
      <c r="A23" s="66">
        <f>G22+1</f>
        <v>15</v>
      </c>
      <c r="B23" s="66">
        <f t="shared" si="4"/>
        <v>16</v>
      </c>
      <c r="C23" s="66">
        <f t="shared" si="4"/>
        <v>17</v>
      </c>
      <c r="D23" s="66">
        <f t="shared" si="4"/>
        <v>18</v>
      </c>
      <c r="E23" s="66">
        <f t="shared" si="4"/>
        <v>19</v>
      </c>
      <c r="F23" s="66">
        <f t="shared" si="4"/>
        <v>20</v>
      </c>
      <c r="G23" s="66">
        <f t="shared" si="4"/>
        <v>21</v>
      </c>
    </row>
    <row r="24" spans="1:7" x14ac:dyDescent="0.4">
      <c r="A24" s="66">
        <f>G23+1</f>
        <v>22</v>
      </c>
      <c r="B24" s="66">
        <f t="shared" si="4"/>
        <v>23</v>
      </c>
      <c r="C24" s="66">
        <f t="shared" si="4"/>
        <v>24</v>
      </c>
      <c r="D24" s="60">
        <f t="shared" si="4"/>
        <v>25</v>
      </c>
      <c r="E24" s="60">
        <f t="shared" si="4"/>
        <v>26</v>
      </c>
      <c r="F24" s="60">
        <f t="shared" si="4"/>
        <v>27</v>
      </c>
      <c r="G24" s="60">
        <f t="shared" si="4"/>
        <v>28</v>
      </c>
    </row>
    <row r="25" spans="1:7" x14ac:dyDescent="0.4">
      <c r="A25" s="60">
        <f>G24+1</f>
        <v>29</v>
      </c>
      <c r="B25" s="60">
        <f>A25+1</f>
        <v>30</v>
      </c>
      <c r="C25" s="1"/>
      <c r="D25" s="1"/>
      <c r="E25" s="1"/>
      <c r="F25" s="1"/>
      <c r="G25" s="1"/>
    </row>
    <row r="27" spans="1:7" x14ac:dyDescent="0.4">
      <c r="A27" t="s">
        <v>80</v>
      </c>
    </row>
    <row r="28" spans="1:7" x14ac:dyDescent="0.4">
      <c r="A28" s="1" t="s">
        <v>82</v>
      </c>
      <c r="B28" s="1" t="s">
        <v>83</v>
      </c>
      <c r="C28" s="1" t="s">
        <v>84</v>
      </c>
      <c r="D28" s="1" t="s">
        <v>85</v>
      </c>
      <c r="E28" s="1" t="s">
        <v>86</v>
      </c>
      <c r="F28" s="1" t="s">
        <v>87</v>
      </c>
      <c r="G28" s="1" t="s">
        <v>88</v>
      </c>
    </row>
    <row r="29" spans="1:7" x14ac:dyDescent="0.4">
      <c r="A29" s="1"/>
      <c r="B29" s="1"/>
      <c r="C29" s="60">
        <v>1</v>
      </c>
      <c r="D29" s="60">
        <f t="shared" ref="D29:G32" si="5">C29+1</f>
        <v>2</v>
      </c>
      <c r="E29" s="60">
        <f t="shared" si="5"/>
        <v>3</v>
      </c>
      <c r="F29" s="60">
        <f t="shared" si="5"/>
        <v>4</v>
      </c>
      <c r="G29" s="60">
        <f t="shared" si="5"/>
        <v>5</v>
      </c>
    </row>
    <row r="30" spans="1:7" x14ac:dyDescent="0.4">
      <c r="A30" s="60">
        <f>G29+1</f>
        <v>6</v>
      </c>
      <c r="B30" s="60">
        <f t="shared" ref="B30:C33" si="6">A30+1</f>
        <v>7</v>
      </c>
      <c r="C30" s="60">
        <f t="shared" si="6"/>
        <v>8</v>
      </c>
      <c r="D30" s="60">
        <f t="shared" si="5"/>
        <v>9</v>
      </c>
      <c r="E30" s="60">
        <f t="shared" si="5"/>
        <v>10</v>
      </c>
      <c r="F30" s="60">
        <f t="shared" si="5"/>
        <v>11</v>
      </c>
      <c r="G30" s="60">
        <f t="shared" si="5"/>
        <v>12</v>
      </c>
    </row>
    <row r="31" spans="1:7" x14ac:dyDescent="0.4">
      <c r="A31" s="60">
        <f>G30+1</f>
        <v>13</v>
      </c>
      <c r="B31" s="60">
        <f t="shared" si="6"/>
        <v>14</v>
      </c>
      <c r="C31" s="60">
        <f t="shared" si="6"/>
        <v>15</v>
      </c>
      <c r="D31" s="60">
        <f t="shared" si="5"/>
        <v>16</v>
      </c>
      <c r="E31" s="60">
        <f t="shared" si="5"/>
        <v>17</v>
      </c>
      <c r="F31" s="60">
        <f t="shared" si="5"/>
        <v>18</v>
      </c>
      <c r="G31" s="60">
        <f t="shared" si="5"/>
        <v>19</v>
      </c>
    </row>
    <row r="32" spans="1:7" x14ac:dyDescent="0.4">
      <c r="A32" s="60">
        <f>G31+1</f>
        <v>20</v>
      </c>
      <c r="B32" s="60">
        <f t="shared" si="6"/>
        <v>21</v>
      </c>
      <c r="C32" s="60">
        <f t="shared" si="6"/>
        <v>22</v>
      </c>
      <c r="D32" s="60">
        <f t="shared" si="5"/>
        <v>23</v>
      </c>
      <c r="E32" s="1">
        <f t="shared" si="5"/>
        <v>24</v>
      </c>
      <c r="F32" s="1">
        <f t="shared" si="5"/>
        <v>25</v>
      </c>
      <c r="G32" s="1">
        <f t="shared" si="5"/>
        <v>26</v>
      </c>
    </row>
    <row r="33" spans="1:7" x14ac:dyDescent="0.4">
      <c r="A33" s="1">
        <f>G32+1</f>
        <v>27</v>
      </c>
      <c r="B33" s="1">
        <f t="shared" si="6"/>
        <v>28</v>
      </c>
      <c r="C33" s="1">
        <f t="shared" si="6"/>
        <v>29</v>
      </c>
      <c r="D33" s="1">
        <f>C33+1</f>
        <v>30</v>
      </c>
      <c r="E33" s="63">
        <f>D33+1</f>
        <v>31</v>
      </c>
      <c r="F33" s="1"/>
      <c r="G33" s="1"/>
    </row>
    <row r="35" spans="1:7" x14ac:dyDescent="0.4">
      <c r="A35" t="s">
        <v>81</v>
      </c>
    </row>
    <row r="36" spans="1:7" x14ac:dyDescent="0.4">
      <c r="A36" s="1" t="s">
        <v>82</v>
      </c>
      <c r="B36" s="1" t="s">
        <v>83</v>
      </c>
      <c r="C36" s="1" t="s">
        <v>84</v>
      </c>
      <c r="D36" s="1" t="s">
        <v>85</v>
      </c>
      <c r="E36" s="1" t="s">
        <v>86</v>
      </c>
      <c r="F36" s="1" t="s">
        <v>87</v>
      </c>
      <c r="G36" s="1" t="s">
        <v>88</v>
      </c>
    </row>
    <row r="37" spans="1:7" x14ac:dyDescent="0.4">
      <c r="A37" s="1"/>
      <c r="B37" s="1"/>
      <c r="C37" s="1"/>
      <c r="D37" s="1"/>
      <c r="E37" s="1"/>
      <c r="F37" s="67">
        <v>1</v>
      </c>
      <c r="G37" s="67">
        <f>F37+1</f>
        <v>2</v>
      </c>
    </row>
    <row r="38" spans="1:7" x14ac:dyDescent="0.4">
      <c r="A38" s="67">
        <f>G37+1</f>
        <v>3</v>
      </c>
      <c r="B38" s="67">
        <f t="shared" ref="B38:F41" si="7">A38+1</f>
        <v>4</v>
      </c>
      <c r="C38" s="67">
        <f t="shared" si="7"/>
        <v>5</v>
      </c>
      <c r="D38" s="67">
        <f t="shared" si="7"/>
        <v>6</v>
      </c>
      <c r="E38" s="67">
        <f t="shared" si="7"/>
        <v>7</v>
      </c>
      <c r="F38" s="67">
        <f t="shared" si="7"/>
        <v>8</v>
      </c>
      <c r="G38" s="67">
        <f>F38+1</f>
        <v>9</v>
      </c>
    </row>
    <row r="39" spans="1:7" x14ac:dyDescent="0.4">
      <c r="A39" s="67">
        <f>G38+1</f>
        <v>10</v>
      </c>
      <c r="B39" s="67">
        <f t="shared" si="7"/>
        <v>11</v>
      </c>
      <c r="C39" s="67">
        <f t="shared" si="7"/>
        <v>12</v>
      </c>
      <c r="D39" s="67">
        <f t="shared" si="7"/>
        <v>13</v>
      </c>
      <c r="E39" s="67">
        <f t="shared" si="7"/>
        <v>14</v>
      </c>
      <c r="F39" s="67">
        <f t="shared" si="7"/>
        <v>15</v>
      </c>
      <c r="G39" s="67">
        <f>F39+1</f>
        <v>16</v>
      </c>
    </row>
    <row r="40" spans="1:7" x14ac:dyDescent="0.4">
      <c r="A40" s="67">
        <f>G39+1</f>
        <v>17</v>
      </c>
      <c r="B40" s="67">
        <f t="shared" si="7"/>
        <v>18</v>
      </c>
      <c r="C40" s="67">
        <f t="shared" si="7"/>
        <v>19</v>
      </c>
      <c r="D40" s="67">
        <f t="shared" si="7"/>
        <v>20</v>
      </c>
      <c r="E40" s="67">
        <f t="shared" si="7"/>
        <v>21</v>
      </c>
      <c r="F40" s="67">
        <f t="shared" si="7"/>
        <v>22</v>
      </c>
      <c r="G40" s="67">
        <f>F40+1</f>
        <v>23</v>
      </c>
    </row>
    <row r="41" spans="1:7" x14ac:dyDescent="0.4">
      <c r="A41" s="67">
        <f>G40+1</f>
        <v>24</v>
      </c>
      <c r="B41" s="67">
        <f t="shared" si="7"/>
        <v>25</v>
      </c>
      <c r="C41" s="67">
        <f t="shared" si="7"/>
        <v>26</v>
      </c>
      <c r="D41" s="67">
        <f t="shared" si="7"/>
        <v>27</v>
      </c>
      <c r="E41" s="67">
        <f t="shared" si="7"/>
        <v>28</v>
      </c>
      <c r="F41" s="67">
        <f t="shared" si="7"/>
        <v>29</v>
      </c>
      <c r="G41" s="67">
        <f>F41+1</f>
        <v>30</v>
      </c>
    </row>
    <row r="42" spans="1:7" x14ac:dyDescent="0.4">
      <c r="A42" s="67">
        <f>G41+1</f>
        <v>31</v>
      </c>
      <c r="B42" s="1"/>
      <c r="C42" s="1"/>
      <c r="D42" s="1"/>
      <c r="E42" s="1"/>
      <c r="F42" s="1"/>
      <c r="G42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A306-DCBF-4399-B86C-67FABFF96396}">
  <dimension ref="A4:D37"/>
  <sheetViews>
    <sheetView workbookViewId="0">
      <selection activeCell="E22" sqref="E22"/>
    </sheetView>
  </sheetViews>
  <sheetFormatPr defaultRowHeight="18.75" x14ac:dyDescent="0.4"/>
  <cols>
    <col min="1" max="1" width="81.5" bestFit="1" customWidth="1"/>
    <col min="2" max="2" width="11" bestFit="1" customWidth="1"/>
    <col min="3" max="3" width="33.875" bestFit="1" customWidth="1"/>
    <col min="4" max="4" width="11" bestFit="1" customWidth="1"/>
  </cols>
  <sheetData>
    <row r="4" spans="1:4" ht="19.5" thickBot="1" x14ac:dyDescent="0.45"/>
    <row r="5" spans="1:4" ht="19.5" thickBot="1" x14ac:dyDescent="0.45">
      <c r="A5" s="39" t="s">
        <v>44</v>
      </c>
      <c r="B5" s="40" t="s">
        <v>43</v>
      </c>
      <c r="C5" s="40" t="s">
        <v>42</v>
      </c>
      <c r="D5" s="41" t="s">
        <v>43</v>
      </c>
    </row>
    <row r="6" spans="1:4" x14ac:dyDescent="0.4">
      <c r="A6" s="38"/>
      <c r="B6" s="3"/>
      <c r="C6" s="42"/>
      <c r="D6" s="8"/>
    </row>
    <row r="7" spans="1:4" x14ac:dyDescent="0.4">
      <c r="A7" s="2"/>
      <c r="B7" s="18"/>
      <c r="C7" s="2"/>
      <c r="D7" s="3"/>
    </row>
    <row r="8" spans="1:4" x14ac:dyDescent="0.4">
      <c r="A8" s="2"/>
      <c r="B8" s="18"/>
      <c r="C8" s="2"/>
      <c r="D8" s="3"/>
    </row>
    <row r="9" spans="1:4" x14ac:dyDescent="0.4">
      <c r="A9" s="2"/>
      <c r="B9" s="18"/>
      <c r="C9" s="2"/>
      <c r="D9" s="3"/>
    </row>
    <row r="10" spans="1:4" x14ac:dyDescent="0.4">
      <c r="A10" s="36"/>
      <c r="B10" s="3"/>
      <c r="C10" s="2"/>
      <c r="D10" s="3"/>
    </row>
    <row r="11" spans="1:4" x14ac:dyDescent="0.4">
      <c r="A11" s="2"/>
      <c r="B11" s="18"/>
      <c r="C11" s="2"/>
      <c r="D11" s="3"/>
    </row>
    <row r="12" spans="1:4" x14ac:dyDescent="0.4">
      <c r="A12" s="2"/>
      <c r="B12" s="18"/>
      <c r="C12" s="2"/>
      <c r="D12" s="3"/>
    </row>
    <row r="13" spans="1:4" x14ac:dyDescent="0.4">
      <c r="A13" s="2"/>
      <c r="B13" s="18"/>
      <c r="C13" s="9"/>
      <c r="D13" s="3"/>
    </row>
    <row r="14" spans="1:4" x14ac:dyDescent="0.4">
      <c r="A14" s="2"/>
      <c r="B14" s="18"/>
      <c r="C14" s="9"/>
      <c r="D14" s="3"/>
    </row>
    <row r="15" spans="1:4" ht="19.5" thickBot="1" x14ac:dyDescent="0.45">
      <c r="A15" s="2"/>
      <c r="B15" s="18"/>
      <c r="C15" s="37"/>
      <c r="D15" s="3"/>
    </row>
    <row r="16" spans="1:4" x14ac:dyDescent="0.4">
      <c r="A16" s="2"/>
      <c r="B16" s="18"/>
      <c r="C16" s="42"/>
      <c r="D16" s="8"/>
    </row>
    <row r="17" spans="1:4" x14ac:dyDescent="0.4">
      <c r="A17" s="2"/>
      <c r="B17" s="18"/>
      <c r="C17" s="2"/>
      <c r="D17" s="3"/>
    </row>
    <row r="18" spans="1:4" x14ac:dyDescent="0.4">
      <c r="A18" s="2"/>
      <c r="B18" s="18"/>
      <c r="C18" s="2"/>
      <c r="D18" s="3"/>
    </row>
    <row r="19" spans="1:4" x14ac:dyDescent="0.4">
      <c r="A19" s="2"/>
      <c r="B19" s="18"/>
      <c r="C19" s="2"/>
      <c r="D19" s="3"/>
    </row>
    <row r="20" spans="1:4" ht="19.5" thickBot="1" x14ac:dyDescent="0.45">
      <c r="A20" s="37"/>
      <c r="B20" s="19"/>
      <c r="C20" s="9"/>
      <c r="D20" s="3"/>
    </row>
    <row r="21" spans="1:4" x14ac:dyDescent="0.4">
      <c r="C21" s="42"/>
      <c r="D21" s="8"/>
    </row>
    <row r="22" spans="1:4" ht="19.5" thickBot="1" x14ac:dyDescent="0.45">
      <c r="C22" s="46"/>
      <c r="D22" s="4"/>
    </row>
    <row r="23" spans="1:4" ht="19.5" thickBot="1" x14ac:dyDescent="0.45">
      <c r="C23" s="46"/>
      <c r="D23" s="4"/>
    </row>
    <row r="24" spans="1:4" ht="19.5" thickBot="1" x14ac:dyDescent="0.45">
      <c r="C24" s="46"/>
      <c r="D24" s="4"/>
    </row>
    <row r="25" spans="1:4" ht="19.5" thickBot="1" x14ac:dyDescent="0.45">
      <c r="C25" s="46"/>
      <c r="D25" s="4"/>
    </row>
    <row r="26" spans="1:4" ht="19.5" thickBot="1" x14ac:dyDescent="0.45">
      <c r="C26" s="46"/>
      <c r="D26" s="4"/>
    </row>
    <row r="27" spans="1:4" ht="19.5" thickBot="1" x14ac:dyDescent="0.45">
      <c r="C27" s="46"/>
      <c r="D27" s="4"/>
    </row>
    <row r="28" spans="1:4" ht="19.5" thickBot="1" x14ac:dyDescent="0.45">
      <c r="C28" s="46"/>
      <c r="D28" s="4"/>
    </row>
    <row r="29" spans="1:4" ht="19.5" thickBot="1" x14ac:dyDescent="0.45">
      <c r="C29" s="46"/>
      <c r="D29" s="4"/>
    </row>
    <row r="30" spans="1:4" ht="19.5" thickBot="1" x14ac:dyDescent="0.45">
      <c r="C30" s="37"/>
      <c r="D30" s="4"/>
    </row>
    <row r="31" spans="1:4" ht="19.5" thickBot="1" x14ac:dyDescent="0.45">
      <c r="C31" s="43"/>
      <c r="D31" s="4"/>
    </row>
    <row r="32" spans="1:4" ht="19.5" thickBot="1" x14ac:dyDescent="0.45">
      <c r="C32" s="44"/>
      <c r="D32" s="4"/>
    </row>
    <row r="33" spans="3:4" ht="19.5" thickBot="1" x14ac:dyDescent="0.45">
      <c r="C33" s="44"/>
      <c r="D33" s="4"/>
    </row>
    <row r="34" spans="3:4" ht="19.5" thickBot="1" x14ac:dyDescent="0.45">
      <c r="C34" s="44"/>
      <c r="D34" s="4"/>
    </row>
    <row r="35" spans="3:4" x14ac:dyDescent="0.4">
      <c r="C35" s="45"/>
    </row>
    <row r="36" spans="3:4" ht="19.5" thickBot="1" x14ac:dyDescent="0.45">
      <c r="C36" s="44"/>
      <c r="D36" s="4"/>
    </row>
    <row r="37" spans="3:4" ht="19.5" thickBot="1" x14ac:dyDescent="0.45">
      <c r="C37" s="44"/>
      <c r="D37" s="4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A11A0F-B85E-497A-BCAE-7EE830D43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クラス図</vt:lpstr>
      <vt:lpstr>コスト表</vt:lpstr>
      <vt:lpstr>カレンダー</vt:lpstr>
      <vt:lpstr>完成に向けて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坂本　煌</dc:creator>
  <cp:keywords/>
  <dc:description/>
  <cp:lastModifiedBy>坂本　煌</cp:lastModifiedBy>
  <cp:revision/>
  <dcterms:created xsi:type="dcterms:W3CDTF">2026-06-15T02:30:55Z</dcterms:created>
  <dcterms:modified xsi:type="dcterms:W3CDTF">2026-10-22T09:33:38Z</dcterms:modified>
  <cp:category/>
  <cp:contentStatus/>
</cp:coreProperties>
</file>