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660A21DC-F736-4114-847E-AEDE40645CF4}" xr6:coauthVersionLast="47" xr6:coauthVersionMax="47" xr10:uidLastSave="{00000000-0000-0000-0000-000000000000}"/>
  <bookViews>
    <workbookView xWindow="-120" yWindow="-120" windowWidth="29040" windowHeight="15720" firstSheet="1" activeTab="2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K10" i="2"/>
  <c r="K11" i="2"/>
  <c r="L11" i="2" s="1"/>
  <c r="K8" i="2"/>
  <c r="G81" i="2"/>
  <c r="G82" i="2"/>
  <c r="G77" i="2"/>
  <c r="G79" i="2"/>
  <c r="G6" i="2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<sst xmlns="http://schemas.openxmlformats.org/spreadsheetml/2006/main" count="312" uniqueCount="131">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</sst>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2" totalsRowShown="0" headerRowDxfId="10" headerRowBorderDxfId="9" tableBorderDxfId="8" totalsRowBorderDxfId="7">
  <autoFilter ref="B2:H82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2"/>
  <sheetViews>
    <sheetView topLeftCell="A69" zoomScaleNormal="100" workbookViewId="0">
      <selection activeCell="J64" sqref="J64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SUMIF(F$4:F$82,J8,C$4:C$82)</f>
        <v>66</v>
      </c>
      <c r="L8" s="3">
        <f>K8-SUMIFS(テーブル1[見積コスト],テーブル1[バージョン],J8,テーブル1[ステータス],"完了")</f>
        <v>42</v>
      </c>
    </row>
    <row r="9" spans="1:13" x14ac:dyDescent="0.4">
      <c r="B9" s="47" t="s">
        <v>47</v>
      </c>
      <c r="C9" s="1">
        <v>3</v>
      </c>
      <c r="D9" s="1">
        <v>3</v>
      </c>
      <c r="E9" s="1" t="s">
        <v>29</v>
      </c>
      <c r="F9" s="1" t="s">
        <v>89</v>
      </c>
      <c r="G9" s="1" t="str">
        <f t="shared" ref="G9:G55" si="1">IF(D9 &gt; 0,"完了","未完了")</f>
        <v>完了</v>
      </c>
      <c r="H9" s="18"/>
      <c r="J9" s="2" t="s">
        <v>16</v>
      </c>
      <c r="K9" s="1">
        <f t="shared" ref="K9:K11" si="2">SUMIF(F$4:F$82,J9,C$4:C$82)</f>
        <v>30.5</v>
      </c>
      <c r="L9" s="3">
        <f>K9-SUMIFS(テーブル1[見積コスト],テーブル1[バージョン],J9,テーブル1[ステータス],"完了")</f>
        <v>27.5</v>
      </c>
    </row>
    <row r="10" spans="1:13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 t="shared" si="2"/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 t="shared" si="2"/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133</v>
      </c>
      <c r="L12" s="23">
        <f>SUM(L8:L11)</f>
        <v>106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1.2788461538461537</v>
      </c>
      <c r="M15" s="29">
        <f ca="1">(K12-L12) / _xlfn.DAYS(TODAY(),J15)</f>
        <v>0.9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74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82" si="3">IF(D57 &gt; 0,"完了","未完了")</f>
        <v>未完了</v>
      </c>
      <c r="H57" s="18" t="s">
        <v>126</v>
      </c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3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3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3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3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3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3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3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3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3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3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3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>
        <v>1</v>
      </c>
      <c r="E71" s="1" t="s">
        <v>29</v>
      </c>
      <c r="F71" s="1" t="s">
        <v>26</v>
      </c>
      <c r="G71" s="1" t="str">
        <f t="shared" si="3"/>
        <v>完了</v>
      </c>
      <c r="H71" s="18"/>
    </row>
    <row r="72" spans="2:8" x14ac:dyDescent="0.4">
      <c r="B72" s="34" t="s">
        <v>106</v>
      </c>
      <c r="C72" s="10">
        <v>1.5</v>
      </c>
      <c r="D72" s="10">
        <v>1</v>
      </c>
      <c r="E72" s="10" t="s">
        <v>107</v>
      </c>
      <c r="F72" s="10" t="s">
        <v>26</v>
      </c>
      <c r="G72" s="10" t="str">
        <f t="shared" si="3"/>
        <v>完了</v>
      </c>
      <c r="H72" s="20"/>
    </row>
    <row r="73" spans="2:8" x14ac:dyDescent="0.4">
      <c r="B73" s="68" t="s">
        <v>114</v>
      </c>
      <c r="C73" s="10"/>
      <c r="D73" s="10"/>
      <c r="E73" s="10"/>
      <c r="F73" s="10" t="s">
        <v>89</v>
      </c>
      <c r="G73" s="1" t="s">
        <v>122</v>
      </c>
      <c r="H73" s="20"/>
    </row>
    <row r="74" spans="2:8" x14ac:dyDescent="0.4">
      <c r="B74" s="69" t="s">
        <v>117</v>
      </c>
      <c r="C74" s="1">
        <v>3</v>
      </c>
      <c r="D74" s="1">
        <v>5</v>
      </c>
      <c r="E74" s="10" t="s">
        <v>29</v>
      </c>
      <c r="F74" s="10" t="s">
        <v>89</v>
      </c>
      <c r="G74" s="10" t="str">
        <f t="shared" si="3"/>
        <v>完了</v>
      </c>
      <c r="H74" s="18"/>
    </row>
    <row r="75" spans="2:8" x14ac:dyDescent="0.4">
      <c r="B75" s="69" t="s">
        <v>115</v>
      </c>
      <c r="C75" s="10">
        <v>1</v>
      </c>
      <c r="D75" s="10">
        <v>1</v>
      </c>
      <c r="E75" s="10" t="s">
        <v>29</v>
      </c>
      <c r="F75" s="10" t="s">
        <v>89</v>
      </c>
      <c r="G75" s="10" t="str">
        <f t="shared" si="3"/>
        <v>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>
        <v>5</v>
      </c>
      <c r="E76" s="10" t="s">
        <v>29</v>
      </c>
      <c r="F76" s="1" t="s">
        <v>89</v>
      </c>
      <c r="G76" s="10" t="str">
        <f t="shared" si="3"/>
        <v>完了</v>
      </c>
      <c r="H76" s="18"/>
    </row>
    <row r="77" spans="2:8" x14ac:dyDescent="0.4">
      <c r="B77" s="69" t="s">
        <v>127</v>
      </c>
      <c r="C77" s="1">
        <v>1.5</v>
      </c>
      <c r="D77" s="1"/>
      <c r="E77" s="1" t="s">
        <v>29</v>
      </c>
      <c r="F77" s="1" t="s">
        <v>26</v>
      </c>
      <c r="G77" s="10" t="str">
        <f t="shared" si="3"/>
        <v>未完了</v>
      </c>
      <c r="H77" s="18"/>
    </row>
    <row r="78" spans="2:8" x14ac:dyDescent="0.4">
      <c r="B78" s="71" t="s">
        <v>124</v>
      </c>
      <c r="C78" s="1"/>
      <c r="D78" s="1"/>
      <c r="E78" s="1"/>
      <c r="F78" s="1"/>
      <c r="G78" s="10" t="s">
        <v>113</v>
      </c>
      <c r="H78" s="18"/>
    </row>
    <row r="79" spans="2:8" x14ac:dyDescent="0.4">
      <c r="B79" s="71" t="s">
        <v>125</v>
      </c>
      <c r="C79" s="1">
        <v>5</v>
      </c>
      <c r="D79" s="1"/>
      <c r="E79" s="1" t="s">
        <v>29</v>
      </c>
      <c r="F79" s="1" t="s">
        <v>26</v>
      </c>
      <c r="G79" s="10" t="str">
        <f t="shared" si="3"/>
        <v>未完了</v>
      </c>
      <c r="H79" s="18"/>
    </row>
    <row r="80" spans="2:8" x14ac:dyDescent="0.4">
      <c r="B80" s="72" t="s">
        <v>128</v>
      </c>
      <c r="C80" s="10"/>
      <c r="D80" s="10"/>
      <c r="E80" s="1"/>
      <c r="F80" s="10"/>
      <c r="G80" s="10" t="s">
        <v>113</v>
      </c>
      <c r="H80" s="20"/>
    </row>
    <row r="81" spans="2:8" x14ac:dyDescent="0.4">
      <c r="B81" s="72" t="s">
        <v>129</v>
      </c>
      <c r="C81" s="10">
        <v>3</v>
      </c>
      <c r="D81" s="10"/>
      <c r="E81" s="1" t="s">
        <v>29</v>
      </c>
      <c r="F81" s="10" t="s">
        <v>26</v>
      </c>
      <c r="G81" s="10" t="str">
        <f t="shared" si="3"/>
        <v>未完了</v>
      </c>
      <c r="H81" s="20"/>
    </row>
    <row r="82" spans="2:8" x14ac:dyDescent="0.4">
      <c r="B82" s="72" t="s">
        <v>130</v>
      </c>
      <c r="C82" s="10">
        <v>2</v>
      </c>
      <c r="D82" s="10"/>
      <c r="E82" s="1" t="s">
        <v>29</v>
      </c>
      <c r="F82" s="10" t="s">
        <v>26</v>
      </c>
      <c r="G82" s="10" t="str">
        <f t="shared" si="3"/>
        <v>未完了</v>
      </c>
      <c r="H82" s="20"/>
    </row>
  </sheetData>
  <phoneticPr fontId="1"/>
  <dataValidations count="2">
    <dataValidation type="list" allowBlank="1" showInputMessage="1" showErrorMessage="1" sqref="E4:E72 E74:E82" xr:uid="{8019EF25-1BBC-4ED5-A76E-ECC3E7C9CBEF}">
      <formula1>"S,A,B,C"</formula1>
    </dataValidation>
    <dataValidation type="list" allowBlank="1" showInputMessage="1" showErrorMessage="1" sqref="F3:F82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abSelected="1" workbookViewId="0">
      <selection activeCell="I18" sqref="I18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5">
        <f>G16+1</f>
        <v>25</v>
      </c>
      <c r="B17" s="65">
        <f t="shared" si="3"/>
        <v>26</v>
      </c>
      <c r="C17" s="65">
        <f t="shared" si="3"/>
        <v>27</v>
      </c>
      <c r="D17" s="65">
        <f t="shared" si="3"/>
        <v>28</v>
      </c>
      <c r="E17" s="65">
        <f t="shared" si="3"/>
        <v>29</v>
      </c>
      <c r="F17" s="65">
        <f t="shared" si="2"/>
        <v>30</v>
      </c>
      <c r="G17" s="65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2026-10-18T02:41:27Z</dcterms:modified>
  <cp:category/>
  <cp:contentStatus/>
</cp:coreProperties>
</file>