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0C08DFF5-973B-453D-8FD2-3CCD862CF608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2" l="1"/>
  <c r="G76" i="2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<sst xmlns="http://schemas.openxmlformats.org/spreadsheetml/2006/main" count="294" uniqueCount="124">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</sst>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6" totalsRowShown="0" headerRowDxfId="10" headerRowBorderDxfId="9" tableBorderDxfId="8" totalsRowBorderDxfId="7">
  <autoFilter ref="B2:H76" xr:uid="{E0FC3BE7-AE2C-45A4-BCE5-94B11A6E92A6}">
    <filterColumn colId="4">
      <filters>
        <filter val="プロト"/>
      </filters>
    </filterColumn>
    <filterColumn colId="5">
      <filters>
        <filter val="未完了"/>
      </filters>
    </filterColumn>
  </autoFilter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6"/>
  <sheetViews>
    <sheetView tabSelected="1" zoomScaleNormal="100" workbookViewId="0">
      <selection activeCell="G9" sqref="G9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hidden="1" x14ac:dyDescent="0.4">
      <c r="B3" s="11" t="s">
        <v>9</v>
      </c>
      <c r="C3" s="1"/>
      <c r="D3" s="1"/>
      <c r="E3" s="1"/>
      <c r="F3" s="1" t="s">
        <v>89</v>
      </c>
      <c r="G3" s="1" t="s">
        <v>122</v>
      </c>
      <c r="H3" s="18"/>
    </row>
    <row r="4" spans="1:13" hidden="1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hidden="1" x14ac:dyDescent="0.4">
      <c r="B5" s="70" t="s">
        <v>119</v>
      </c>
      <c r="C5" s="1"/>
      <c r="D5" s="1"/>
      <c r="E5" s="1"/>
      <c r="F5" s="1"/>
      <c r="G5" s="1" t="s">
        <v>10</v>
      </c>
      <c r="H5" s="18"/>
    </row>
    <row r="6" spans="1:13" hidden="1" x14ac:dyDescent="0.4">
      <c r="B6" s="70" t="s">
        <v>121</v>
      </c>
      <c r="C6" s="1">
        <v>6</v>
      </c>
      <c r="D6" s="1">
        <v>6</v>
      </c>
      <c r="E6" s="1" t="s">
        <v>29</v>
      </c>
      <c r="F6" s="1" t="s">
        <v>89</v>
      </c>
      <c r="G6" s="1" t="str">
        <f t="shared" ref="G6:G7" si="0">IF(D6 &gt; 0,"完了","未完了")</f>
        <v>完了</v>
      </c>
      <c r="H6" s="18"/>
      <c r="J6" s="24"/>
    </row>
    <row r="7" spans="1:13" hidden="1" x14ac:dyDescent="0.4">
      <c r="B7" s="70" t="s">
        <v>120</v>
      </c>
      <c r="C7" s="1">
        <v>2</v>
      </c>
      <c r="D7" s="1">
        <v>2</v>
      </c>
      <c r="E7" s="1" t="s">
        <v>29</v>
      </c>
      <c r="F7" s="1" t="s">
        <v>89</v>
      </c>
      <c r="G7" s="1" t="str">
        <f t="shared" si="0"/>
        <v>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SUMIF(F$4:F$72,J8,C$4:C$72)</f>
        <v>57</v>
      </c>
      <c r="L8" s="3">
        <f>K8-SUMIFS(テーブル1[見積コスト],テーブル1[バージョン],J8,テーブル1[ステータス],"完了")</f>
        <v>42</v>
      </c>
    </row>
    <row r="9" spans="1:13" x14ac:dyDescent="0.4">
      <c r="B9" s="47" t="s">
        <v>47</v>
      </c>
      <c r="C9" s="1">
        <v>3</v>
      </c>
      <c r="D9" s="1"/>
      <c r="E9" s="1" t="s">
        <v>29</v>
      </c>
      <c r="F9" s="1" t="s">
        <v>89</v>
      </c>
      <c r="G9" s="1" t="str">
        <f t="shared" ref="G9:G55" si="1">IF(D9 &gt; 0,"完了","未完了")</f>
        <v>未完了</v>
      </c>
      <c r="H9" s="18"/>
      <c r="J9" s="2" t="s">
        <v>16</v>
      </c>
      <c r="K9" s="1">
        <f>SUMIF(F$4:F$72,J9,C$4:C$72)</f>
        <v>19</v>
      </c>
      <c r="L9" s="3">
        <f>K9-SUMIFS(テーブル1[見積コスト],テーブル1[バージョン],J9,テーブル1[ステータス],"完了")</f>
        <v>19</v>
      </c>
    </row>
    <row r="10" spans="1:13" hidden="1" x14ac:dyDescent="0.4">
      <c r="B10" s="47" t="s">
        <v>48</v>
      </c>
      <c r="C10" s="1">
        <v>1</v>
      </c>
      <c r="D10" s="1">
        <v>1</v>
      </c>
      <c r="E10" s="1" t="s">
        <v>108</v>
      </c>
      <c r="F10" s="1" t="s">
        <v>89</v>
      </c>
      <c r="G10" s="1" t="str">
        <f t="shared" si="1"/>
        <v>完了</v>
      </c>
      <c r="H10" s="18"/>
      <c r="J10" s="2" t="s">
        <v>17</v>
      </c>
      <c r="K10" s="1">
        <f>SUMIF(F$4:F$72,J10,C$4:C$72)</f>
        <v>36.5</v>
      </c>
      <c r="L10" s="3">
        <f>K10-SUMIFS(テーブル1[見積コスト],テーブル1[バージョン],J10,テーブル1[ステータス],"完了")</f>
        <v>36.5</v>
      </c>
    </row>
    <row r="11" spans="1:13" hidden="1" x14ac:dyDescent="0.4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>SUMIF(F$4:F$72,J11,C$4:C$72)</f>
        <v>0</v>
      </c>
      <c r="L11" s="3">
        <f>K11-SUMIFS(テーブル1[見積コスト],テーブル1[バージョン],J11,テーブル1[ステータス],"完了")</f>
        <v>0</v>
      </c>
    </row>
    <row r="12" spans="1:13" ht="19.5" hidden="1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112.5</v>
      </c>
      <c r="L12" s="23">
        <f>SUM(L8:L11)</f>
        <v>97.5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1.0817307692307692</v>
      </c>
      <c r="M15" s="29">
        <f ca="1">(K12-L12) / _xlfn.DAYS(TODAY(),J15)</f>
        <v>1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89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hidden="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hidden="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hidden="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hidden="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hidden="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hidden="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hidden="1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hidden="1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hidden="1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hidden="1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hidden="1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hidden="1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hidden="1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hidden="1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hidden="1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hidden="1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hidden="1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hidden="1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hidden="1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hidden="1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hidden="1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hidden="1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hidden="1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hidden="1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hidden="1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hidden="1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hidden="1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hidden="1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hidden="1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76" si="2">IF(D57 &gt; 0,"完了","未完了")</f>
        <v>未完了</v>
      </c>
      <c r="H57" s="18"/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2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2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2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2"/>
        <v>未完了</v>
      </c>
      <c r="H61" s="18"/>
    </row>
    <row r="62" spans="2:8" hidden="1" x14ac:dyDescent="0.4">
      <c r="B62" s="57" t="s">
        <v>40</v>
      </c>
      <c r="C62" s="1"/>
      <c r="D62" s="1"/>
      <c r="E62" s="1"/>
      <c r="F62" s="1" t="s">
        <v>26</v>
      </c>
      <c r="G62" s="1" t="str">
        <f t="shared" si="2"/>
        <v>未完了</v>
      </c>
      <c r="H62" s="18"/>
    </row>
    <row r="63" spans="2:8" hidden="1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2"/>
        <v>未完了</v>
      </c>
      <c r="H63" s="18"/>
    </row>
    <row r="64" spans="2:8" hidden="1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hidden="1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2"/>
        <v>未完了</v>
      </c>
      <c r="H65" s="18"/>
    </row>
    <row r="66" spans="2:8" hidden="1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2"/>
        <v>未完了</v>
      </c>
      <c r="H66" s="18"/>
    </row>
    <row r="67" spans="2:8" hidden="1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2"/>
        <v>未完了</v>
      </c>
      <c r="H67" s="18"/>
    </row>
    <row r="68" spans="2:8" hidden="1" x14ac:dyDescent="0.4">
      <c r="B68" s="49" t="s">
        <v>118</v>
      </c>
      <c r="C68" s="1">
        <v>1</v>
      </c>
      <c r="D68" s="1"/>
      <c r="E68" s="1" t="s">
        <v>29</v>
      </c>
      <c r="F68" s="1" t="s">
        <v>90</v>
      </c>
      <c r="G68" s="1" t="str">
        <f t="shared" si="2"/>
        <v>未完了</v>
      </c>
      <c r="H68" s="18"/>
    </row>
    <row r="69" spans="2:8" hidden="1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2"/>
        <v>未完了</v>
      </c>
      <c r="H69" s="18"/>
    </row>
    <row r="70" spans="2:8" hidden="1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hidden="1" x14ac:dyDescent="0.4">
      <c r="B71" s="17" t="s">
        <v>105</v>
      </c>
      <c r="C71" s="1">
        <v>1.5</v>
      </c>
      <c r="D71" s="1"/>
      <c r="E71" s="1" t="s">
        <v>29</v>
      </c>
      <c r="F71" s="1" t="s">
        <v>26</v>
      </c>
      <c r="G71" s="1" t="str">
        <f t="shared" si="2"/>
        <v>未完了</v>
      </c>
      <c r="H71" s="18"/>
    </row>
    <row r="72" spans="2:8" hidden="1" x14ac:dyDescent="0.4">
      <c r="B72" s="34" t="s">
        <v>106</v>
      </c>
      <c r="C72" s="10">
        <v>1.5</v>
      </c>
      <c r="D72" s="10"/>
      <c r="E72" s="10" t="s">
        <v>107</v>
      </c>
      <c r="F72" s="10" t="s">
        <v>26</v>
      </c>
      <c r="G72" s="10" t="str">
        <f t="shared" si="2"/>
        <v>未完了</v>
      </c>
      <c r="H72" s="20"/>
    </row>
    <row r="73" spans="2:8" hidden="1" x14ac:dyDescent="0.4">
      <c r="B73" s="68" t="s">
        <v>114</v>
      </c>
      <c r="C73" s="10"/>
      <c r="D73" s="10"/>
      <c r="E73" s="10"/>
      <c r="F73" s="10"/>
      <c r="G73" s="1" t="s">
        <v>113</v>
      </c>
      <c r="H73" s="20"/>
    </row>
    <row r="74" spans="2:8" x14ac:dyDescent="0.4">
      <c r="B74" s="69" t="s">
        <v>117</v>
      </c>
      <c r="C74" s="1">
        <v>3</v>
      </c>
      <c r="D74" s="1">
        <v>5</v>
      </c>
      <c r="E74" s="10" t="s">
        <v>29</v>
      </c>
      <c r="F74" s="10" t="s">
        <v>89</v>
      </c>
      <c r="G74" s="10" t="str">
        <f t="shared" si="2"/>
        <v>完了</v>
      </c>
      <c r="H74" s="18"/>
    </row>
    <row r="75" spans="2:8" x14ac:dyDescent="0.4">
      <c r="B75" s="69" t="s">
        <v>115</v>
      </c>
      <c r="C75" s="10">
        <v>1</v>
      </c>
      <c r="D75" s="10"/>
      <c r="E75" s="10" t="s">
        <v>29</v>
      </c>
      <c r="F75" s="10" t="s">
        <v>89</v>
      </c>
      <c r="G75" s="10" t="str">
        <f t="shared" si="2"/>
        <v>未完了</v>
      </c>
      <c r="H75" s="20" t="s">
        <v>116</v>
      </c>
    </row>
    <row r="76" spans="2:8" hidden="1" x14ac:dyDescent="0.4">
      <c r="B76" s="69" t="s">
        <v>123</v>
      </c>
      <c r="C76" s="1">
        <v>5</v>
      </c>
      <c r="D76" s="1"/>
      <c r="E76" s="10" t="s">
        <v>29</v>
      </c>
      <c r="F76" s="1" t="s">
        <v>26</v>
      </c>
      <c r="G76" s="10" t="str">
        <f t="shared" si="2"/>
        <v>未完了</v>
      </c>
      <c r="H76" s="18"/>
    </row>
  </sheetData>
  <phoneticPr fontId="1"/>
  <dataValidations count="2">
    <dataValidation type="list" allowBlank="1" showInputMessage="1" showErrorMessage="1" sqref="E4:E72 E74:E76" xr:uid="{8019EF25-1BBC-4ED5-A76E-ECC3E7C9CBEF}">
      <formula1>"S,A,B,C"</formula1>
    </dataValidation>
    <dataValidation type="list" allowBlank="1" showInputMessage="1" showErrorMessage="1" sqref="F3:F76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M13" sqref="M13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2026-10-03T01:14:02Z</dcterms:modified>
  <cp:category/>
  <cp:contentStatus/>
</cp:coreProperties>
</file>