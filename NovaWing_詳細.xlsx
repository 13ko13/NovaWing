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A15CF111-1A33-4CE1-9EA5-A361DF67B6C9}" xr6:coauthVersionLast="47" xr6:coauthVersionMax="47" xr10:uidLastSave="{00000000-0000-0000-0000-000000000000}"/>
  <bookViews>
    <workbookView xWindow="-120" yWindow="-120" windowWidth="29040" windowHeight="15720" firstSheet="1" activeTab="3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<sst xmlns="http://schemas.openxmlformats.org/spreadsheetml/2006/main" count="392" uniqueCount="149">
  <si>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</si>
  <si>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</si>
  <si>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</si>
  <si>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</si>
  <si>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</si>
  <si>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</si>
  <si>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</si>
  <si>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</si>
  <si>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</si>
  <si>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</si>
  <si>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</si>
  <si>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</si>
  <si>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</si>
  <si>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</si>
  <si>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</si>
  <si>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</si>
  <si>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</si>
  <si>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</si>
  <si>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</si>
  <si>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</si>
  <si>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</si>
  <si>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</si>
  <si>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</si>
  <si>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</si>
  <si>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</si>
  <si>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</si>
  <si>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</si>
  <si>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</si>
  <si>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</si>
  <si>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</si>
  <si>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</si>
  <si>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</si>
  <si>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</si>
  <si>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</si>
  <si>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</si>
  <si>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</si>
  <si>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</si>
  <si>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</si>
  <si>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</si>
  <si>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</si>
  <si>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</si>
  <si>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</si>
  <si>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</si>
  <si>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</si>
  <si>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</si>
  <si>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</si>
  <si>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</si>
  <si>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</si>
  <si>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</si>
  <si>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</si>
  <si>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</si>
  <si>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</si>
  <si>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</si>
  <si>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</si>
  <si>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</si>
  <si>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</si>
  <si>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</si>
  <si>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</si>
  <si>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</si>
  <si>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</si>
  <si>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</si>
  <si>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</si>
  <si>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</si>
  <si>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</si>
  <si>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</si>
  <si>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</si>
  <si>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</si>
  <si>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</si>
  <si>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</si>
  <si>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</si>
  <si>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</si>
  <si>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</si>
  <si>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</si>
  <si>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</si>
  <si>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</si>
  <si>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</si>
  <si>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</si>
  <si>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</si>
  <si>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</si>
  <si>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</si>
  <si>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</si>
  <si>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</si>
  <si>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</si>
  <si>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</si>
  <si>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</si>
  <si>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</si>
  <si>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</si>
  <si>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</si>
  <si>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</si>
  <si>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</si>
  <si>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</si>
  <si>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</si>
  <si>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</si>
  <si>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</si>
  <si>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</si>
  <si>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</si>
  <si>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</si>
  <si>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</si>
  <si>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</si>
  <si>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</si>
  <si>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</si>
  <si>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</si>
  <si>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</si>
  <si>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</si>
  <si>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</si>
  <si>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</si>
  <si>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</si>
  <si>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</si>
  <si>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</si>
  <si>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</si>
  <si>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</si>
  <si>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</si>
  <si>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</si>
  <si>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</si>
  <si>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</si>
  <si>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</si>
  <si>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</si>
  <si>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</si>
  <si>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</si>
  <si>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</si>
  <si>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</si>
  <si>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</si>
  <si>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</si>
  <si>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</si>
  <si>
    <t>宙返りの動きが、正円すぎる。その場で留まって円を描いている感じがおかしく見える</t>
    <rPh sb="0" eb="2">
      <t>チュウガエ</t>
    </rPh>
    <rPh sb="4" eb="5">
      <t>ウゴ</t>
    </rPh>
    <rPh sb="8" eb="9">
      <t>タダ</t>
    </rPh>
    <rPh sb="9" eb="10">
      <t>エン</t>
    </rPh>
    <rPh sb="16" eb="17">
      <t>バ</t>
    </rPh>
    <rPh sb="18" eb="19">
      <t>ト</t>
    </rPh>
    <rPh sb="22" eb="23">
      <t>エン</t>
    </rPh>
    <rPh sb="24" eb="25">
      <t>エガ</t>
    </rPh>
    <rPh sb="29" eb="30">
      <t>カン</t>
    </rPh>
    <rPh sb="36" eb="37">
      <t>ミ</t>
    </rPh>
    <phoneticPr fontId="1"/>
  </si>
  <si>
    <t>宙返りの時にレティクルを消す</t>
    <rPh sb="0" eb="2">
      <t>チュウガエ</t>
    </rPh>
    <rPh sb="4" eb="5">
      <t>トキ</t>
    </rPh>
    <rPh sb="12" eb="13">
      <t>ケ</t>
    </rPh>
    <phoneticPr fontId="1"/>
  </si>
  <si>
    <t>宙返り連打できてしまう</t>
    <rPh sb="0" eb="2">
      <t>チュウガエ</t>
    </rPh>
    <rPh sb="3" eb="5">
      <t>レンダ</t>
    </rPh>
    <phoneticPr fontId="1"/>
  </si>
  <si>
    <t>ボスのエフェクトがめっちゃでる</t>
    <phoneticPr fontId="1"/>
  </si>
  <si>
    <t>音</t>
    <rPh sb="0" eb="1">
      <t>オト</t>
    </rPh>
    <phoneticPr fontId="1"/>
  </si>
  <si>
    <t>プレイヤー</t>
    <phoneticPr fontId="1"/>
  </si>
  <si>
    <t>　ーショット</t>
    <phoneticPr fontId="1"/>
  </si>
  <si>
    <t>　ーチャージショット</t>
    <phoneticPr fontId="1"/>
  </si>
  <si>
    <t>　ーブースト</t>
    <phoneticPr fontId="1"/>
  </si>
  <si>
    <t>　ーブレーキ</t>
    <phoneticPr fontId="1"/>
  </si>
  <si>
    <t>　ー宙返り</t>
    <rPh sb="2" eb="4">
      <t>チュウガエ</t>
    </rPh>
    <phoneticPr fontId="1"/>
  </si>
  <si>
    <t>　ーBGＭ</t>
    <phoneticPr fontId="1"/>
  </si>
  <si>
    <t>　ー決定音</t>
    <rPh sb="2" eb="4">
      <t>ケッテイ</t>
    </rPh>
    <rPh sb="4" eb="5">
      <t>オン</t>
    </rPh>
    <phoneticPr fontId="1"/>
  </si>
  <si>
    <t>　ーカーソル音</t>
    <rPh sb="6" eb="7">
      <t>オン</t>
    </rPh>
    <phoneticPr fontId="1"/>
  </si>
  <si>
    <t>タイトル</t>
    <phoneticPr fontId="1"/>
  </si>
  <si>
    <t>　ーブースト音</t>
    <rPh sb="6" eb="7">
      <t>オン</t>
    </rPh>
    <phoneticPr fontId="1"/>
  </si>
  <si>
    <t>　ー直進音</t>
    <rPh sb="2" eb="5">
      <t>チョクシンオン</t>
    </rPh>
    <phoneticPr fontId="1"/>
  </si>
  <si>
    <t>　ー宙返り音</t>
    <rPh sb="2" eb="4">
      <t>チュウガエ</t>
    </rPh>
    <rPh sb="5" eb="6">
      <t>オン</t>
    </rPh>
    <phoneticPr fontId="1"/>
  </si>
  <si>
    <t>　ータイトルロゴ出現の音</t>
    <rPh sb="8" eb="10">
      <t>シュツゲン</t>
    </rPh>
    <rPh sb="11" eb="12">
      <t>オト</t>
    </rPh>
    <phoneticPr fontId="1"/>
  </si>
  <si>
    <t>敵へのターゲットを距離でやっているせいでボスが召喚したワームが
手前に近づいてきて、すぐにロックオンから外れてしまう</t>
    <rPh sb="0" eb="1">
      <t>テキ</t>
    </rPh>
    <rPh sb="9" eb="11">
      <t>キョリ</t>
    </rPh>
    <rPh sb="23" eb="25">
      <t>ショウカン</t>
    </rPh>
    <rPh sb="32" eb="34">
      <t>テマエ</t>
    </rPh>
    <rPh sb="35" eb="36">
      <t>チカ</t>
    </rPh>
    <rPh sb="52" eb="53">
      <t>ハズ</t>
    </rPh>
    <phoneticPr fontId="1"/>
  </si>
  <si>
    <t>ステータス</t>
    <phoneticPr fontId="1"/>
  </si>
  <si>
    <t>内容</t>
    <rPh sb="0" eb="2">
      <t>ナイヨウ</t>
    </rPh>
    <phoneticPr fontId="1"/>
  </si>
  <si>
    <t>ボス</t>
    <phoneticPr fontId="1"/>
  </si>
  <si>
    <t>　ー死亡</t>
    <rPh sb="2" eb="4">
      <t>シボウ</t>
    </rPh>
    <phoneticPr fontId="1"/>
  </si>
  <si>
    <t>拾った</t>
    <rPh sb="0" eb="1">
      <t>ヒロ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</si>
</sst>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6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2" xfId="0" applyFont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8" totalsRowShown="0" headerRowDxfId="9" headerRowBorderDxfId="8" tableBorderDxfId="7">
  <autoFilter ref="B2:H8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8"/>
  <sheetViews>
    <sheetView topLeftCell="A58" zoomScale="70" zoomScaleNormal="70" workbookViewId="0">
      <selection activeCell="M17" sqref="M17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SUMIF(F$4:F$88,J8,C$4:C$88)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SUMIF(F$4:F$88,J9,C$4:C$88)</f>
        <v>33</v>
      </c>
      <c r="L9" s="3">
        <f>K9-SUMIFS(テーブル1[見積コスト],テーブル1[バージョン],J9,テーブル1[ステータス],"完了")</f>
        <v>6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SUMIF(F$4:F$88,J10,C$4:C$88)</f>
        <v>43.5</v>
      </c>
      <c r="L10" s="3">
        <f>K10-SUMIFS(テーブル1[見積コスト],テーブル1[バージョン],J10,テーブル1[ステータス],"完了")</f>
        <v>30.5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SUMIF(F$4:F$88,J11,C$4:C$88)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150</v>
      </c>
      <c r="L12" s="36">
        <f>SUM(L8:L11)</f>
        <v>39.5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1.7857142857142858</v>
      </c>
      <c r="M15" s="57">
        <f ca="1">(K12-L12) / _xlfn.DAYS(TODAY(),J15)</f>
        <v>1.4539473684210527</v>
      </c>
    </row>
    <row r="16" spans="1:13" x14ac:dyDescent="0.4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8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x14ac:dyDescent="0.4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x14ac:dyDescent="0.4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>
        <v>4</v>
      </c>
      <c r="E34" s="1" t="s">
        <v>12</v>
      </c>
      <c r="F34" s="1" t="s">
        <v>30</v>
      </c>
      <c r="G34" s="1" t="s">
        <v>14</v>
      </c>
      <c r="H34" s="78"/>
    </row>
    <row r="35" spans="2:8" x14ac:dyDescent="0.4">
      <c r="B35" s="77" t="s">
        <v>61</v>
      </c>
      <c r="C35" s="1">
        <v>10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x14ac:dyDescent="0.4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x14ac:dyDescent="0.4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>
        <v>3</v>
      </c>
      <c r="E66" s="1" t="s">
        <v>12</v>
      </c>
      <c r="F66" s="1" t="s">
        <v>30</v>
      </c>
      <c r="G66" s="1" t="s">
        <v>14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3</v>
      </c>
      <c r="D69" s="1">
        <v>3</v>
      </c>
      <c r="E69" s="1" t="s">
        <v>12</v>
      </c>
      <c r="F69" s="1" t="s">
        <v>30</v>
      </c>
      <c r="G69" s="1" t="s">
        <v>14</v>
      </c>
      <c r="H69" s="3"/>
    </row>
    <row r="70" spans="2:8" x14ac:dyDescent="0.4">
      <c r="B70" s="14" t="s">
        <v>90</v>
      </c>
      <c r="C70" s="1">
        <v>3</v>
      </c>
      <c r="D70" s="1">
        <v>3</v>
      </c>
      <c r="E70" s="1" t="s">
        <v>12</v>
      </c>
      <c r="F70" s="1" t="s">
        <v>30</v>
      </c>
      <c r="G70" s="1" t="s">
        <v>14</v>
      </c>
      <c r="H70" s="3"/>
    </row>
    <row r="71" spans="2:8" x14ac:dyDescent="0.4">
      <c r="B71" s="14" t="s">
        <v>91</v>
      </c>
      <c r="C71" s="1">
        <v>1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ht="19.5" thickBot="1" x14ac:dyDescent="0.45">
      <c r="B72" s="67" t="s">
        <v>92</v>
      </c>
      <c r="C72" s="4">
        <v>1</v>
      </c>
      <c r="D72" s="4"/>
      <c r="E72" s="4" t="s">
        <v>28</v>
      </c>
      <c r="F72" s="4" t="s">
        <v>30</v>
      </c>
      <c r="G72" s="4" t="s">
        <v>29</v>
      </c>
      <c r="H72" s="5"/>
    </row>
    <row r="73" spans="2:8" x14ac:dyDescent="0.4">
      <c r="B73" s="68" t="s">
        <v>93</v>
      </c>
      <c r="C73" s="69"/>
      <c r="D73" s="69"/>
      <c r="E73" s="69"/>
      <c r="F73" s="69"/>
      <c r="G73" s="1" t="s">
        <v>29</v>
      </c>
      <c r="H73" s="70"/>
    </row>
    <row r="74" spans="2:8" x14ac:dyDescent="0.4">
      <c r="B74" s="71" t="s">
        <v>94</v>
      </c>
      <c r="C74" s="11">
        <v>5</v>
      </c>
      <c r="D74" s="11">
        <v>5</v>
      </c>
      <c r="E74" s="11" t="s">
        <v>12</v>
      </c>
      <c r="F74" s="11" t="s">
        <v>13</v>
      </c>
      <c r="G74" s="11" t="s">
        <v>14</v>
      </c>
      <c r="H74" s="12"/>
    </row>
    <row r="75" spans="2:8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116</v>
      </c>
      <c r="H75" s="12"/>
    </row>
    <row r="76" spans="2:8" ht="19.5" thickBot="1" x14ac:dyDescent="0.45">
      <c r="B76" s="71" t="s">
        <v>96</v>
      </c>
      <c r="C76" s="11">
        <v>10</v>
      </c>
      <c r="D76" s="11">
        <v>10</v>
      </c>
      <c r="E76" s="11" t="s">
        <v>57</v>
      </c>
      <c r="F76" s="11" t="s">
        <v>13</v>
      </c>
      <c r="G76" s="11" t="s">
        <v>32</v>
      </c>
      <c r="H76" s="12"/>
    </row>
    <row r="77" spans="2:8" x14ac:dyDescent="0.4">
      <c r="B77" s="87" t="s">
        <v>97</v>
      </c>
      <c r="C77" s="88"/>
      <c r="D77" s="88"/>
      <c r="E77" s="88"/>
      <c r="F77" s="88"/>
      <c r="G77" s="88" t="s">
        <v>14</v>
      </c>
      <c r="H77" s="89"/>
    </row>
    <row r="78" spans="2:8" x14ac:dyDescent="0.4">
      <c r="B78" s="90" t="s">
        <v>98</v>
      </c>
      <c r="C78" s="1">
        <v>4</v>
      </c>
      <c r="D78" s="1">
        <v>4</v>
      </c>
      <c r="E78" s="1" t="s">
        <v>57</v>
      </c>
      <c r="F78" s="11" t="s">
        <v>13</v>
      </c>
      <c r="G78" s="11" t="s">
        <v>14</v>
      </c>
      <c r="H78" s="78" t="s">
        <v>99</v>
      </c>
    </row>
    <row r="79" spans="2:8" ht="19.5" thickBot="1" x14ac:dyDescent="0.45">
      <c r="B79" s="94" t="s">
        <v>100</v>
      </c>
      <c r="C79" s="11">
        <v>5</v>
      </c>
      <c r="D79" s="11">
        <v>5</v>
      </c>
      <c r="E79" s="11" t="s">
        <v>57</v>
      </c>
      <c r="F79" s="11" t="s">
        <v>13</v>
      </c>
      <c r="G79" s="11" t="s">
        <v>14</v>
      </c>
      <c r="H79" s="93" t="s">
        <v>101</v>
      </c>
    </row>
    <row r="80" spans="2:8" x14ac:dyDescent="0.4">
      <c r="B80" s="91" t="s">
        <v>102</v>
      </c>
      <c r="C80" s="88"/>
      <c r="D80" s="88"/>
      <c r="E80" s="88"/>
      <c r="F80" s="88"/>
      <c r="G80" s="75" t="s">
        <v>10</v>
      </c>
      <c r="H80" s="89"/>
    </row>
    <row r="81" spans="2:8" x14ac:dyDescent="0.4">
      <c r="B81" s="92" t="s">
        <v>103</v>
      </c>
      <c r="C81" s="1">
        <v>6</v>
      </c>
      <c r="D81" s="1"/>
      <c r="E81" s="1" t="s">
        <v>57</v>
      </c>
      <c r="F81" s="1" t="s">
        <v>44</v>
      </c>
      <c r="G81" s="1" t="s">
        <v>10</v>
      </c>
      <c r="H81" s="78"/>
    </row>
    <row r="82" spans="2:8" ht="19.5" thickBot="1" x14ac:dyDescent="0.45">
      <c r="B82" s="96" t="s">
        <v>104</v>
      </c>
      <c r="C82" s="80">
        <v>2</v>
      </c>
      <c r="D82" s="80">
        <v>2</v>
      </c>
      <c r="E82" s="80" t="s">
        <v>57</v>
      </c>
      <c r="F82" s="80" t="s">
        <v>13</v>
      </c>
      <c r="G82" s="80" t="s">
        <v>14</v>
      </c>
      <c r="H82" s="81"/>
    </row>
    <row r="83" spans="2:8" x14ac:dyDescent="0.4">
      <c r="B83" s="95" t="s">
        <v>105</v>
      </c>
      <c r="C83" s="65"/>
      <c r="D83" s="65"/>
      <c r="E83" s="65"/>
      <c r="F83" s="65"/>
      <c r="G83" s="65" t="s">
        <v>10</v>
      </c>
      <c r="H83" s="66"/>
    </row>
    <row r="84" spans="2:8" x14ac:dyDescent="0.4">
      <c r="B84" s="72" t="s">
        <v>106</v>
      </c>
      <c r="C84" s="11">
        <v>1</v>
      </c>
      <c r="D84" s="11">
        <v>1</v>
      </c>
      <c r="E84" s="11" t="s">
        <v>57</v>
      </c>
      <c r="F84" s="11" t="s">
        <v>44</v>
      </c>
      <c r="G84" s="11" t="s">
        <v>14</v>
      </c>
      <c r="H84" s="33"/>
    </row>
    <row r="85" spans="2:8" ht="19.5" thickBot="1" x14ac:dyDescent="0.45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x14ac:dyDescent="0.4">
      <c r="B86" s="13" t="s">
        <v>108</v>
      </c>
      <c r="C86" s="8">
        <v>1</v>
      </c>
      <c r="D86" s="8">
        <v>1</v>
      </c>
      <c r="E86" s="8" t="s">
        <v>57</v>
      </c>
      <c r="F86" s="8" t="s">
        <v>13</v>
      </c>
      <c r="G86" s="8" t="s">
        <v>32</v>
      </c>
      <c r="H86" s="9"/>
    </row>
    <row r="87" spans="2:8" x14ac:dyDescent="0.4">
      <c r="B87" s="14" t="s">
        <v>109</v>
      </c>
      <c r="C87" s="1">
        <v>1</v>
      </c>
      <c r="D87" s="1">
        <v>1</v>
      </c>
      <c r="E87" s="1" t="s">
        <v>57</v>
      </c>
      <c r="F87" s="1" t="s">
        <v>13</v>
      </c>
      <c r="G87" s="1" t="s">
        <v>14</v>
      </c>
      <c r="H87" s="3"/>
    </row>
    <row r="88" spans="2:8" ht="19.5" thickBot="1" x14ac:dyDescent="0.45">
      <c r="B88" s="67" t="s">
        <v>110</v>
      </c>
      <c r="C88" s="4">
        <v>1</v>
      </c>
      <c r="D88" s="4">
        <v>1</v>
      </c>
      <c r="E88" s="4" t="s">
        <v>57</v>
      </c>
      <c r="F88" s="4" t="s">
        <v>13</v>
      </c>
      <c r="G88" s="4" t="s">
        <v>14</v>
      </c>
      <c r="H88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111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112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113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114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115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21"/>
  <sheetViews>
    <sheetView tabSelected="1" workbookViewId="0">
      <selection activeCell="D16" sqref="D16"/>
    </sheetView>
  </sheetViews>
  <sheetFormatPr defaultRowHeight="18.75" x14ac:dyDescent="0.4"/>
  <cols>
    <col min="1" max="1" width="81.5" bestFit="1" customWidth="1"/>
    <col min="2" max="2" width="11" bestFit="1" customWidth="1"/>
    <col min="3" max="3" width="25.3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100" t="s">
        <v>145</v>
      </c>
      <c r="B5" s="101" t="s">
        <v>144</v>
      </c>
      <c r="C5" s="101" t="s">
        <v>128</v>
      </c>
      <c r="D5" s="102" t="s">
        <v>144</v>
      </c>
    </row>
    <row r="6" spans="1:4" x14ac:dyDescent="0.4">
      <c r="A6" s="99" t="s">
        <v>117</v>
      </c>
      <c r="B6" s="85"/>
      <c r="C6" s="103" t="s">
        <v>129</v>
      </c>
      <c r="D6" s="9"/>
    </row>
    <row r="7" spans="1:4" x14ac:dyDescent="0.4">
      <c r="A7" s="2" t="s">
        <v>118</v>
      </c>
      <c r="B7" s="31"/>
      <c r="C7" s="2" t="s">
        <v>130</v>
      </c>
      <c r="D7" s="3" t="s">
        <v>148</v>
      </c>
    </row>
    <row r="8" spans="1:4" x14ac:dyDescent="0.4">
      <c r="A8" s="2" t="s">
        <v>119</v>
      </c>
      <c r="B8" s="31"/>
      <c r="C8" s="2" t="s">
        <v>131</v>
      </c>
      <c r="D8" s="3" t="s">
        <v>148</v>
      </c>
    </row>
    <row r="9" spans="1:4" x14ac:dyDescent="0.4">
      <c r="A9" s="2" t="s">
        <v>120</v>
      </c>
      <c r="B9" s="31"/>
      <c r="C9" s="2" t="s">
        <v>132</v>
      </c>
      <c r="D9" s="3"/>
    </row>
    <row r="10" spans="1:4" ht="37.5" x14ac:dyDescent="0.4">
      <c r="A10" s="97" t="s">
        <v>143</v>
      </c>
      <c r="B10" s="31"/>
      <c r="C10" s="2" t="s">
        <v>133</v>
      </c>
      <c r="D10" s="3"/>
    </row>
    <row r="11" spans="1:4" ht="19.5" thickBot="1" x14ac:dyDescent="0.45">
      <c r="A11" s="2" t="s">
        <v>121</v>
      </c>
      <c r="B11" s="31"/>
      <c r="C11" s="98" t="s">
        <v>134</v>
      </c>
      <c r="D11" s="5"/>
    </row>
    <row r="12" spans="1:4" x14ac:dyDescent="0.4">
      <c r="A12" s="2" t="s">
        <v>122</v>
      </c>
      <c r="B12" s="31"/>
      <c r="C12" s="103" t="s">
        <v>138</v>
      </c>
      <c r="D12" s="9"/>
    </row>
    <row r="13" spans="1:4" x14ac:dyDescent="0.4">
      <c r="A13" s="2" t="s">
        <v>123</v>
      </c>
      <c r="B13" s="31"/>
      <c r="C13" s="2" t="s">
        <v>135</v>
      </c>
      <c r="D13" s="3"/>
    </row>
    <row r="14" spans="1:4" x14ac:dyDescent="0.4">
      <c r="A14" s="2" t="s">
        <v>124</v>
      </c>
      <c r="B14" s="31"/>
      <c r="C14" s="2" t="s">
        <v>136</v>
      </c>
      <c r="D14" s="3" t="s">
        <v>148</v>
      </c>
    </row>
    <row r="15" spans="1:4" x14ac:dyDescent="0.4">
      <c r="A15" s="2" t="s">
        <v>125</v>
      </c>
      <c r="B15" s="31"/>
      <c r="C15" s="2" t="s">
        <v>137</v>
      </c>
      <c r="D15" s="3" t="s">
        <v>148</v>
      </c>
    </row>
    <row r="16" spans="1:4" x14ac:dyDescent="0.4">
      <c r="A16" s="2" t="s">
        <v>126</v>
      </c>
      <c r="B16" s="31"/>
      <c r="C16" s="2" t="s">
        <v>139</v>
      </c>
      <c r="D16" s="3"/>
    </row>
    <row r="17" spans="1:4" x14ac:dyDescent="0.4">
      <c r="A17" s="2" t="s">
        <v>127</v>
      </c>
      <c r="B17" s="31"/>
      <c r="C17" s="2" t="s">
        <v>140</v>
      </c>
      <c r="D17" s="3"/>
    </row>
    <row r="18" spans="1:4" x14ac:dyDescent="0.4">
      <c r="A18" s="2"/>
      <c r="B18" s="31"/>
      <c r="C18" s="2" t="s">
        <v>141</v>
      </c>
      <c r="D18" s="3"/>
    </row>
    <row r="19" spans="1:4" ht="19.5" thickBot="1" x14ac:dyDescent="0.45">
      <c r="A19" s="2"/>
      <c r="B19" s="31"/>
      <c r="C19" s="10" t="s">
        <v>142</v>
      </c>
      <c r="D19" s="12"/>
    </row>
    <row r="20" spans="1:4" ht="19.5" thickBot="1" x14ac:dyDescent="0.45">
      <c r="A20" s="98"/>
      <c r="B20" s="32"/>
      <c r="C20" s="103" t="s">
        <v>146</v>
      </c>
      <c r="D20" s="9"/>
    </row>
    <row r="21" spans="1:4" ht="19.5" thickBot="1" x14ac:dyDescent="0.45">
      <c r="C21" s="98" t="s">
        <v>147</v>
      </c>
      <c r="D21" s="5" t="s">
        <v>148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2026-08-26T07:57:32Z</dcterms:modified>
  <cp:category/>
  <cp:contentStatus/>
</cp:coreProperties>
</file>