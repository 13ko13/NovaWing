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7C3933D6-A89F-4140-A54D-A15707255840}" xr6:coauthVersionLast="47" xr6:coauthVersionMax="47" xr10:uidLastSave="{00000000-0000-0000-0000-000000000000}"/>
  <bookViews>
    <workbookView xWindow="-285" yWindow="-163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8" i="2" l="1"/>
  <c r="G6" i="2"/>
  <c r="G76" i="2"/>
  <c r="G7" i="2"/>
  <c r="G68" i="2"/>
  <c r="G74" i="2"/>
  <c r="G75" i="2"/>
  <c r="G65" i="2"/>
  <c r="J17" i="2"/>
  <c r="J15" i="2"/>
  <c r="G14" i="2"/>
  <c r="G15" i="2"/>
  <c r="G17" i="2"/>
  <c r="G18" i="2"/>
  <c r="G19" i="2"/>
  <c r="G20" i="2"/>
  <c r="G22" i="2"/>
  <c r="G23" i="2"/>
  <c r="G25" i="2"/>
  <c r="G26" i="2"/>
  <c r="G28" i="2"/>
  <c r="G29" i="2"/>
  <c r="G30" i="2"/>
  <c r="G31" i="2"/>
  <c r="G33" i="2"/>
  <c r="G34" i="2"/>
  <c r="G35" i="2"/>
  <c r="G36" i="2"/>
  <c r="G38" i="2"/>
  <c r="G39" i="2"/>
  <c r="G40" i="2"/>
  <c r="G41" i="2"/>
  <c r="G42" i="2"/>
  <c r="G44" i="2"/>
  <c r="G45" i="2"/>
  <c r="G46" i="2"/>
  <c r="G48" i="2"/>
  <c r="G49" i="2"/>
  <c r="G50" i="2"/>
  <c r="G51" i="2"/>
  <c r="G53" i="2"/>
  <c r="G54" i="2"/>
  <c r="G55" i="2"/>
  <c r="G57" i="2"/>
  <c r="G58" i="2"/>
  <c r="G59" i="2"/>
  <c r="G60" i="2"/>
  <c r="G61" i="2"/>
  <c r="G62" i="2"/>
  <c r="G63" i="2"/>
  <c r="G66" i="2"/>
  <c r="G67" i="2"/>
  <c r="G69" i="2"/>
  <c r="G71" i="2"/>
  <c r="G72" i="2"/>
  <c r="G9" i="2"/>
  <c r="G10" i="2"/>
  <c r="G12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9" i="2"/>
  <c r="K10" i="2"/>
  <c r="K11" i="2"/>
  <c r="L11" i="2" s="1"/>
  <c r="K8" i="2"/>
  <c r="L10" i="2" l="1"/>
  <c r="L8" i="2"/>
  <c r="L9" i="2"/>
  <c r="K12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<sst xmlns="http://schemas.openxmlformats.org/spreadsheetml/2006/main" count="300" uniqueCount="126">
  <si>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</si>
  <si>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</si>
  <si>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</si>
  <si>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</si>
  <si>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</si>
  <si>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</si>
  <si>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</si>
  <si>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</si>
  <si>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</si>
  <si>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</si>
  <si>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</si>
  <si>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</si>
  <si>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</si>
  <si>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</si>
  <si>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</si>
  <si>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</si>
  <si>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</si>
  <si>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</si>
  <si>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</si>
  <si>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</si>
  <si>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</si>
  <si>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</si>
  <si>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</si>
  <si>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</si>
  <si>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</si>
  <si>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</si>
  <si>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</si>
  <si>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</si>
  <si>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</si>
  <si>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</si>
  <si>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</si>
  <si>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</si>
  <si>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</si>
  <si>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</si>
  <si>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</si>
  <si>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</si>
  <si>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</si>
  <si>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</si>
  <si>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</si>
  <si>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</si>
  <si>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</si>
  <si>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</si>
  <si>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</si>
  <si>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</si>
  <si>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</si>
  <si>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</si>
  <si>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</si>
  <si>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</si>
  <si>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</si>
  <si>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</si>
  <si>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</si>
  <si>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</si>
  <si>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</si>
  <si>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</si>
  <si>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</si>
  <si>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</si>
  <si>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</si>
  <si>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</si>
  <si>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</si>
  <si>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</si>
  <si>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</si>
  <si>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</si>
  <si>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</si>
  <si>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</si>
  <si>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</si>
  <si>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</si>
  <si>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</si>
  <si>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</si>
  <si>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</si>
  <si>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</si>
  <si>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</si>
  <si>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</si>
  <si>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</si>
  <si>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</si>
  <si>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</si>
  <si>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</si>
  <si>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</si>
  <si>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</si>
  <si>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</si>
  <si>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</si>
  <si>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</si>
  <si>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</si>
  <si>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</si>
  <si>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</si>
  <si>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</si>
  <si>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</si>
  <si>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</si>
  <si>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</si>
  <si>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</si>
  <si>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</si>
  <si>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</si>
  <si>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</si>
  <si>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</si>
  <si>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</si>
  <si>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</si>
  <si>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</si>
  <si>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</si>
  <si>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</si>
  <si>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</si>
  <si>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</si>
  <si>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</si>
  <si>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</si>
  <si>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</si>
  <si>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</si>
  <si>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ー配置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</si>
  <si>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</si>
  <si>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</si>
  <si>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</si>
  <si>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</si>
  <si>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</si>
  <si>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</si>
  <si>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</si>
  <si>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</si>
  <si>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</si>
  <si>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</si>
  <si>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</si>
  <si>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</si>
  <si>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</si>
  <si>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</si>
  <si>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</si>
  <si>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</si>
  <si>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</si>
  <si>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</si>
  <si>
    <t>　ーエフェクトが見づらいので修正</t>
    <rPh sb="8" eb="9">
      <t>ミ</t>
    </rPh>
    <rPh sb="14" eb="16">
      <t>シュウセイ</t>
    </rPh>
    <phoneticPr fontId="1"/>
  </si>
  <si>
    <t>敵全体</t>
    <rPh sb="0" eb="3">
      <t>テキゼンタイ</t>
    </rPh>
    <phoneticPr fontId="1"/>
  </si>
  <si>
    <t>　ー敵側の予備動作</t>
    <rPh sb="2" eb="4">
      <t>テキガワ</t>
    </rPh>
    <rPh sb="5" eb="9">
      <t>ヨビドウサ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</si>
</sst>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  <xf numFmtId="0" fontId="4" fillId="26" borderId="15" xfId="0" applyFont="1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78" totalsRowShown="0" headerRowDxfId="10" headerRowBorderDxfId="9" tableBorderDxfId="8" totalsRowBorderDxfId="7">
  <autoFilter ref="B2:H78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78"/>
  <sheetViews>
    <sheetView tabSelected="1" topLeftCell="A54" zoomScaleNormal="100" workbookViewId="0">
      <selection activeCell="H62" sqref="H62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45.625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122</v>
      </c>
      <c r="H3" s="18"/>
    </row>
    <row r="4" spans="1:13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x14ac:dyDescent="0.4">
      <c r="B5" s="70" t="s">
        <v>119</v>
      </c>
      <c r="C5" s="1"/>
      <c r="D5" s="1"/>
      <c r="E5" s="1"/>
      <c r="F5" s="1"/>
      <c r="G5" s="1" t="s">
        <v>10</v>
      </c>
      <c r="H5" s="18"/>
    </row>
    <row r="6" spans="1:13" ht="19.5" thickBot="1" x14ac:dyDescent="0.45">
      <c r="B6" s="70" t="s">
        <v>121</v>
      </c>
      <c r="C6" s="1">
        <v>6</v>
      </c>
      <c r="D6" s="1">
        <v>6</v>
      </c>
      <c r="E6" s="1" t="s">
        <v>29</v>
      </c>
      <c r="F6" s="1" t="s">
        <v>89</v>
      </c>
      <c r="G6" s="1" t="str">
        <f t="shared" ref="G6:G7" si="0">IF(D6 &gt; 0,"完了","未完了")</f>
        <v>完了</v>
      </c>
      <c r="H6" s="18"/>
      <c r="J6" s="24"/>
    </row>
    <row r="7" spans="1:13" x14ac:dyDescent="0.4">
      <c r="B7" s="70" t="s">
        <v>120</v>
      </c>
      <c r="C7" s="1">
        <v>2</v>
      </c>
      <c r="D7" s="1">
        <v>2</v>
      </c>
      <c r="E7" s="1" t="s">
        <v>29</v>
      </c>
      <c r="F7" s="1" t="s">
        <v>89</v>
      </c>
      <c r="G7" s="1" t="str">
        <f t="shared" si="0"/>
        <v>完了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47" t="s">
        <v>46</v>
      </c>
      <c r="C8" s="1"/>
      <c r="D8" s="1"/>
      <c r="E8" s="1"/>
      <c r="F8" s="1" t="s">
        <v>89</v>
      </c>
      <c r="G8" s="1" t="s">
        <v>10</v>
      </c>
      <c r="H8" s="18"/>
      <c r="J8" s="2" t="s">
        <v>12</v>
      </c>
      <c r="K8" s="1">
        <f>SUMIF(F$4:F$72,J8,C$4:C$72)</f>
        <v>57</v>
      </c>
      <c r="L8" s="3">
        <f>K8-SUMIFS(テーブル1[見積コスト],テーブル1[バージョン],J8,テーブル1[ステータス],"完了")</f>
        <v>42</v>
      </c>
    </row>
    <row r="9" spans="1:13" x14ac:dyDescent="0.4">
      <c r="B9" s="47" t="s">
        <v>47</v>
      </c>
      <c r="C9" s="1">
        <v>3</v>
      </c>
      <c r="D9" s="1"/>
      <c r="E9" s="1" t="s">
        <v>29</v>
      </c>
      <c r="F9" s="1" t="s">
        <v>89</v>
      </c>
      <c r="G9" s="1" t="str">
        <f t="shared" ref="G9:G55" si="1">IF(D9 &gt; 0,"完了","未完了")</f>
        <v>未完了</v>
      </c>
      <c r="H9" s="18"/>
      <c r="J9" s="2" t="s">
        <v>16</v>
      </c>
      <c r="K9" s="1">
        <f>SUMIF(F$4:F$72,J9,C$4:C$72)</f>
        <v>19</v>
      </c>
      <c r="L9" s="3">
        <f>K9-SUMIFS(テーブル1[見積コスト],テーブル1[バージョン],J9,テーブル1[ステータス],"完了")</f>
        <v>19</v>
      </c>
    </row>
    <row r="10" spans="1:13" x14ac:dyDescent="0.4">
      <c r="B10" s="47" t="s">
        <v>48</v>
      </c>
      <c r="C10" s="1">
        <v>1</v>
      </c>
      <c r="D10" s="1">
        <v>1</v>
      </c>
      <c r="E10" s="1" t="s">
        <v>108</v>
      </c>
      <c r="F10" s="1" t="s">
        <v>89</v>
      </c>
      <c r="G10" s="1" t="str">
        <f t="shared" si="1"/>
        <v>完了</v>
      </c>
      <c r="H10" s="18"/>
      <c r="J10" s="2" t="s">
        <v>17</v>
      </c>
      <c r="K10" s="1">
        <f>SUMIF(F$4:F$72,J10,C$4:C$72)</f>
        <v>36.5</v>
      </c>
      <c r="L10" s="3">
        <f>K10-SUMIFS(テーブル1[見積コスト],テーブル1[バージョン],J10,テーブル1[ステータス],"完了")</f>
        <v>36.5</v>
      </c>
    </row>
    <row r="11" spans="1:13" ht="19.5" thickBot="1" x14ac:dyDescent="0.45">
      <c r="B11" s="17" t="s">
        <v>18</v>
      </c>
      <c r="C11" s="1"/>
      <c r="D11" s="1"/>
      <c r="E11" s="1"/>
      <c r="F11" s="1" t="s">
        <v>26</v>
      </c>
      <c r="G11" s="1" t="s">
        <v>10</v>
      </c>
      <c r="H11" s="18"/>
      <c r="J11" s="9" t="s">
        <v>19</v>
      </c>
      <c r="K11" s="1">
        <f>SUMIF(F$4:F$72,J11,C$4:C$72)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17" t="s">
        <v>49</v>
      </c>
      <c r="C12" s="1">
        <v>1</v>
      </c>
      <c r="D12" s="1"/>
      <c r="E12" s="1" t="s">
        <v>107</v>
      </c>
      <c r="F12" s="1" t="s">
        <v>26</v>
      </c>
      <c r="G12" s="1" t="str">
        <f t="shared" si="1"/>
        <v>未完了</v>
      </c>
      <c r="H12" s="18"/>
      <c r="J12" s="21" t="s">
        <v>20</v>
      </c>
      <c r="K12" s="22">
        <f>SUM(K8:K11)</f>
        <v>112.5</v>
      </c>
      <c r="L12" s="23">
        <f>SUM(L8:L11)</f>
        <v>97.5</v>
      </c>
    </row>
    <row r="13" spans="1:13" ht="19.5" thickBot="1" x14ac:dyDescent="0.45">
      <c r="B13" s="52" t="s">
        <v>21</v>
      </c>
      <c r="C13" s="1"/>
      <c r="D13" s="1"/>
      <c r="E13" s="1"/>
      <c r="F13" s="1" t="s">
        <v>89</v>
      </c>
      <c r="G13" s="1" t="s">
        <v>113</v>
      </c>
      <c r="H13" s="18"/>
    </row>
    <row r="14" spans="1:13" x14ac:dyDescent="0.4">
      <c r="B14" s="52" t="s">
        <v>97</v>
      </c>
      <c r="C14" s="1">
        <v>0.5</v>
      </c>
      <c r="D14" s="1"/>
      <c r="E14" s="1" t="s">
        <v>29</v>
      </c>
      <c r="F14" s="1" t="s">
        <v>89</v>
      </c>
      <c r="G14" s="1" t="str">
        <f t="shared" si="1"/>
        <v>未完了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52" t="s">
        <v>50</v>
      </c>
      <c r="C15" s="1">
        <v>0.5</v>
      </c>
      <c r="D15" s="1"/>
      <c r="E15" s="1" t="s">
        <v>29</v>
      </c>
      <c r="F15" s="1" t="s">
        <v>89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1.0817307692307692</v>
      </c>
      <c r="M15" s="29">
        <f ca="1">(K12-L12) / _xlfn.DAYS(TODAY(),J15)</f>
        <v>0.88235294117647056</v>
      </c>
    </row>
    <row r="16" spans="1:13" x14ac:dyDescent="0.4">
      <c r="B16" s="12" t="s">
        <v>74</v>
      </c>
      <c r="C16" s="1"/>
      <c r="D16" s="1"/>
      <c r="E16" s="1"/>
      <c r="F16" s="1" t="s">
        <v>89</v>
      </c>
      <c r="G16" s="1" t="s">
        <v>113</v>
      </c>
      <c r="H16" s="53"/>
      <c r="J16" s="30" t="s">
        <v>27</v>
      </c>
      <c r="K16" s="31" t="s">
        <v>28</v>
      </c>
    </row>
    <row r="17" spans="2:11" ht="19.5" thickBot="1" x14ac:dyDescent="0.45">
      <c r="B17" s="12" t="s">
        <v>51</v>
      </c>
      <c r="C17" s="1">
        <v>3</v>
      </c>
      <c r="D17" s="1"/>
      <c r="E17" s="1" t="s">
        <v>29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87</v>
      </c>
    </row>
    <row r="18" spans="2:11" x14ac:dyDescent="0.4">
      <c r="B18" s="12" t="s">
        <v>52</v>
      </c>
      <c r="C18" s="1">
        <v>2</v>
      </c>
      <c r="D18" s="1"/>
      <c r="E18" s="1" t="s">
        <v>29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12" t="s">
        <v>53</v>
      </c>
      <c r="C19" s="1">
        <v>1</v>
      </c>
      <c r="D19" s="1"/>
      <c r="E19" s="1" t="s">
        <v>29</v>
      </c>
      <c r="F19" s="1" t="s">
        <v>89</v>
      </c>
      <c r="G19" s="1" t="str">
        <f t="shared" si="1"/>
        <v>未完了</v>
      </c>
      <c r="H19" s="18"/>
    </row>
    <row r="20" spans="2:11" x14ac:dyDescent="0.4">
      <c r="B20" s="12" t="s">
        <v>54</v>
      </c>
      <c r="C20" s="1">
        <v>1</v>
      </c>
      <c r="D20" s="1"/>
      <c r="E20" s="1" t="s">
        <v>29</v>
      </c>
      <c r="F20" s="1" t="s">
        <v>89</v>
      </c>
      <c r="G20" s="1" t="str">
        <f t="shared" si="1"/>
        <v>未完了</v>
      </c>
      <c r="H20" s="18"/>
    </row>
    <row r="21" spans="2:11" x14ac:dyDescent="0.4">
      <c r="B21" s="13" t="s">
        <v>73</v>
      </c>
      <c r="C21" s="1"/>
      <c r="D21" s="1"/>
      <c r="E21" s="1"/>
      <c r="F21" s="1" t="s">
        <v>89</v>
      </c>
      <c r="G21" s="1" t="s">
        <v>113</v>
      </c>
      <c r="H21" s="18"/>
    </row>
    <row r="22" spans="2:11" x14ac:dyDescent="0.4">
      <c r="B22" s="13" t="s">
        <v>53</v>
      </c>
      <c r="C22" s="1">
        <v>1</v>
      </c>
      <c r="D22" s="1"/>
      <c r="E22" s="1" t="s">
        <v>29</v>
      </c>
      <c r="F22" s="1" t="s">
        <v>89</v>
      </c>
      <c r="G22" s="1" t="str">
        <f t="shared" si="1"/>
        <v>未完了</v>
      </c>
      <c r="H22" s="18"/>
    </row>
    <row r="23" spans="2:11" x14ac:dyDescent="0.4">
      <c r="B23" s="13" t="s">
        <v>55</v>
      </c>
      <c r="C23" s="1">
        <v>1</v>
      </c>
      <c r="D23" s="1"/>
      <c r="E23" s="1" t="s">
        <v>29</v>
      </c>
      <c r="F23" s="1" t="s">
        <v>89</v>
      </c>
      <c r="G23" s="1" t="str">
        <f t="shared" si="1"/>
        <v>未完了</v>
      </c>
      <c r="H23" s="18"/>
    </row>
    <row r="24" spans="2:11" x14ac:dyDescent="0.4">
      <c r="B24" s="48" t="s">
        <v>56</v>
      </c>
      <c r="C24" s="1"/>
      <c r="D24" s="1"/>
      <c r="E24" s="1"/>
      <c r="F24" s="1" t="s">
        <v>89</v>
      </c>
      <c r="G24" s="1" t="s">
        <v>113</v>
      </c>
      <c r="H24" s="18"/>
    </row>
    <row r="25" spans="2:11" x14ac:dyDescent="0.4">
      <c r="B25" s="48" t="s">
        <v>53</v>
      </c>
      <c r="C25" s="1">
        <v>1</v>
      </c>
      <c r="D25" s="1"/>
      <c r="E25" s="1" t="s">
        <v>29</v>
      </c>
      <c r="F25" s="1" t="s">
        <v>89</v>
      </c>
      <c r="G25" s="1" t="str">
        <f t="shared" si="1"/>
        <v>未完了</v>
      </c>
      <c r="H25" s="18"/>
    </row>
    <row r="26" spans="2:11" x14ac:dyDescent="0.4">
      <c r="B26" s="48" t="s">
        <v>57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x14ac:dyDescent="0.4">
      <c r="B27" s="17" t="s">
        <v>59</v>
      </c>
      <c r="C27" s="1"/>
      <c r="D27" s="1"/>
      <c r="E27" s="1"/>
      <c r="F27" s="1" t="s">
        <v>26</v>
      </c>
      <c r="G27" s="1" t="s">
        <v>113</v>
      </c>
      <c r="H27" s="18" t="s">
        <v>58</v>
      </c>
    </row>
    <row r="28" spans="2:11" x14ac:dyDescent="0.4">
      <c r="B28" s="17" t="s">
        <v>93</v>
      </c>
      <c r="C28" s="1">
        <v>1</v>
      </c>
      <c r="D28" s="1"/>
      <c r="E28" s="1" t="s">
        <v>29</v>
      </c>
      <c r="F28" s="1" t="s">
        <v>26</v>
      </c>
      <c r="G28" s="1" t="str">
        <f t="shared" si="1"/>
        <v>未完了</v>
      </c>
      <c r="H28" s="18"/>
    </row>
    <row r="29" spans="2:11" x14ac:dyDescent="0.4">
      <c r="B29" s="17"/>
      <c r="C29" s="1">
        <v>0</v>
      </c>
      <c r="D29" s="1"/>
      <c r="E29" s="1" t="s">
        <v>29</v>
      </c>
      <c r="F29" s="1" t="s">
        <v>26</v>
      </c>
      <c r="G29" s="1" t="str">
        <f t="shared" si="1"/>
        <v>未完了</v>
      </c>
      <c r="H29" s="18"/>
    </row>
    <row r="30" spans="2:11" x14ac:dyDescent="0.4">
      <c r="B30" s="54"/>
      <c r="C30" s="1">
        <v>0</v>
      </c>
      <c r="D30" s="1"/>
      <c r="E30" s="1" t="s">
        <v>29</v>
      </c>
      <c r="F30" s="1" t="s">
        <v>26</v>
      </c>
      <c r="G30" s="1" t="str">
        <f t="shared" si="1"/>
        <v>未完了</v>
      </c>
      <c r="H30" s="18"/>
    </row>
    <row r="31" spans="2:11" x14ac:dyDescent="0.4">
      <c r="B31" s="17"/>
      <c r="C31" s="1">
        <v>0</v>
      </c>
      <c r="D31" s="1"/>
      <c r="E31" s="1" t="s">
        <v>29</v>
      </c>
      <c r="F31" s="1" t="s">
        <v>26</v>
      </c>
      <c r="G31" s="1" t="str">
        <f t="shared" si="1"/>
        <v>未完了</v>
      </c>
      <c r="H31" s="18"/>
    </row>
    <row r="32" spans="2:11" x14ac:dyDescent="0.4">
      <c r="B32" s="55" t="s">
        <v>30</v>
      </c>
      <c r="C32" s="1"/>
      <c r="D32" s="1"/>
      <c r="E32" s="1"/>
      <c r="F32" s="1" t="s">
        <v>17</v>
      </c>
      <c r="G32" s="1" t="s">
        <v>113</v>
      </c>
      <c r="H32" s="18"/>
    </row>
    <row r="33" spans="2:8" x14ac:dyDescent="0.4">
      <c r="B33" s="55" t="s">
        <v>67</v>
      </c>
      <c r="C33" s="1">
        <v>5</v>
      </c>
      <c r="D33" s="1"/>
      <c r="E33" s="1" t="s">
        <v>11</v>
      </c>
      <c r="F33" s="1" t="s">
        <v>17</v>
      </c>
      <c r="G33" s="1" t="str">
        <f t="shared" si="1"/>
        <v>未完了</v>
      </c>
      <c r="H33" s="18"/>
    </row>
    <row r="34" spans="2:8" x14ac:dyDescent="0.4">
      <c r="B34" s="55" t="s">
        <v>31</v>
      </c>
      <c r="C34" s="1">
        <v>2</v>
      </c>
      <c r="D34" s="1"/>
      <c r="E34" s="1" t="s">
        <v>11</v>
      </c>
      <c r="F34" s="1" t="s">
        <v>17</v>
      </c>
      <c r="G34" s="1" t="str">
        <f t="shared" si="1"/>
        <v>未完了</v>
      </c>
      <c r="H34" s="18"/>
    </row>
    <row r="35" spans="2:8" x14ac:dyDescent="0.4">
      <c r="B35" s="55" t="s">
        <v>32</v>
      </c>
      <c r="C35" s="1">
        <v>7</v>
      </c>
      <c r="D35" s="1"/>
      <c r="E35" s="1" t="s">
        <v>11</v>
      </c>
      <c r="F35" s="1" t="s">
        <v>17</v>
      </c>
      <c r="G35" s="1" t="str">
        <f t="shared" si="1"/>
        <v>未完了</v>
      </c>
      <c r="H35" s="18"/>
    </row>
    <row r="36" spans="2:8" x14ac:dyDescent="0.4">
      <c r="B36" s="55" t="s">
        <v>33</v>
      </c>
      <c r="C36" s="1">
        <v>3</v>
      </c>
      <c r="D36" s="1"/>
      <c r="E36" s="1" t="s">
        <v>11</v>
      </c>
      <c r="F36" s="1" t="s">
        <v>17</v>
      </c>
      <c r="G36" s="1" t="str">
        <f t="shared" si="1"/>
        <v>未完了</v>
      </c>
      <c r="H36" s="18"/>
    </row>
    <row r="37" spans="2:8" x14ac:dyDescent="0.4">
      <c r="B37" s="14" t="s">
        <v>34</v>
      </c>
      <c r="C37" s="1"/>
      <c r="D37" s="1"/>
      <c r="E37" s="1"/>
      <c r="F37" s="1" t="s">
        <v>26</v>
      </c>
      <c r="G37" s="1" t="s">
        <v>113</v>
      </c>
      <c r="H37" s="18"/>
    </row>
    <row r="38" spans="2:8" x14ac:dyDescent="0.4">
      <c r="B38" s="14" t="s">
        <v>75</v>
      </c>
      <c r="C38" s="1">
        <v>1</v>
      </c>
      <c r="D38" s="1"/>
      <c r="E38" s="1" t="s">
        <v>29</v>
      </c>
      <c r="F38" s="1" t="s">
        <v>26</v>
      </c>
      <c r="G38" s="1" t="str">
        <f t="shared" si="1"/>
        <v>未完了</v>
      </c>
      <c r="H38" s="18"/>
    </row>
    <row r="39" spans="2:8" x14ac:dyDescent="0.4">
      <c r="B39" s="14" t="s">
        <v>76</v>
      </c>
      <c r="C39" s="1">
        <v>1</v>
      </c>
      <c r="D39" s="1"/>
      <c r="E39" s="1" t="s">
        <v>29</v>
      </c>
      <c r="F39" s="1" t="s">
        <v>26</v>
      </c>
      <c r="G39" s="1" t="str">
        <f t="shared" si="1"/>
        <v>未完了</v>
      </c>
      <c r="H39" s="18"/>
    </row>
    <row r="40" spans="2:8" x14ac:dyDescent="0.4">
      <c r="B40" s="14" t="s">
        <v>60</v>
      </c>
      <c r="C40" s="1">
        <v>1</v>
      </c>
      <c r="D40" s="1"/>
      <c r="E40" s="1" t="s">
        <v>29</v>
      </c>
      <c r="F40" s="1" t="s">
        <v>26</v>
      </c>
      <c r="G40" s="1" t="str">
        <f t="shared" si="1"/>
        <v>未完了</v>
      </c>
      <c r="H40" s="18"/>
    </row>
    <row r="41" spans="2:8" x14ac:dyDescent="0.4">
      <c r="B41" s="14" t="s">
        <v>61</v>
      </c>
      <c r="C41" s="1">
        <v>2</v>
      </c>
      <c r="D41" s="1"/>
      <c r="E41" s="1" t="s">
        <v>108</v>
      </c>
      <c r="F41" s="1" t="s">
        <v>26</v>
      </c>
      <c r="G41" s="1" t="str">
        <f t="shared" si="1"/>
        <v>未完了</v>
      </c>
      <c r="H41" s="18" t="s">
        <v>109</v>
      </c>
    </row>
    <row r="42" spans="2:8" x14ac:dyDescent="0.4">
      <c r="B42" s="35" t="s">
        <v>62</v>
      </c>
      <c r="C42" s="1">
        <v>2</v>
      </c>
      <c r="D42" s="1"/>
      <c r="E42" s="1" t="s">
        <v>108</v>
      </c>
      <c r="F42" s="1" t="s">
        <v>26</v>
      </c>
      <c r="G42" s="1" t="str">
        <f t="shared" si="1"/>
        <v>未完了</v>
      </c>
      <c r="H42" s="18" t="s">
        <v>109</v>
      </c>
    </row>
    <row r="43" spans="2:8" x14ac:dyDescent="0.4">
      <c r="B43" s="15" t="s">
        <v>35</v>
      </c>
      <c r="C43" s="1"/>
      <c r="D43" s="1"/>
      <c r="E43" s="1"/>
      <c r="F43" s="1" t="s">
        <v>90</v>
      </c>
      <c r="G43" s="1" t="s">
        <v>113</v>
      </c>
      <c r="H43" s="18"/>
    </row>
    <row r="44" spans="2:8" x14ac:dyDescent="0.4">
      <c r="B44" s="15" t="s">
        <v>32</v>
      </c>
      <c r="C44" s="1">
        <v>0.5</v>
      </c>
      <c r="D44" s="1"/>
      <c r="E44" s="1" t="s">
        <v>11</v>
      </c>
      <c r="F44" s="1" t="s">
        <v>17</v>
      </c>
      <c r="G44" s="1" t="str">
        <f t="shared" si="1"/>
        <v>未完了</v>
      </c>
      <c r="H44" s="18"/>
    </row>
    <row r="45" spans="2:8" x14ac:dyDescent="0.4">
      <c r="B45" s="15" t="s">
        <v>36</v>
      </c>
      <c r="C45" s="1">
        <v>0.5</v>
      </c>
      <c r="D45" s="1"/>
      <c r="E45" s="1" t="s">
        <v>11</v>
      </c>
      <c r="F45" s="1" t="s">
        <v>17</v>
      </c>
      <c r="G45" s="1" t="str">
        <f t="shared" si="1"/>
        <v>未完了</v>
      </c>
      <c r="H45" s="18"/>
    </row>
    <row r="46" spans="2:8" x14ac:dyDescent="0.4">
      <c r="B46" s="15" t="s">
        <v>63</v>
      </c>
      <c r="C46" s="1">
        <v>0.5</v>
      </c>
      <c r="D46" s="1"/>
      <c r="E46" s="1" t="s">
        <v>11</v>
      </c>
      <c r="F46" s="1" t="s">
        <v>17</v>
      </c>
      <c r="G46" s="1" t="str">
        <f t="shared" si="1"/>
        <v>未完了</v>
      </c>
      <c r="H46" s="18"/>
    </row>
    <row r="47" spans="2:8" x14ac:dyDescent="0.4">
      <c r="B47" s="16" t="s">
        <v>37</v>
      </c>
      <c r="C47" s="1"/>
      <c r="D47" s="1"/>
      <c r="E47" s="1"/>
      <c r="F47" s="1" t="s">
        <v>90</v>
      </c>
      <c r="G47" s="1" t="s">
        <v>113</v>
      </c>
      <c r="H47" s="18"/>
    </row>
    <row r="48" spans="2:8" x14ac:dyDescent="0.4">
      <c r="B48" s="16" t="s">
        <v>98</v>
      </c>
      <c r="C48" s="1">
        <v>0.5</v>
      </c>
      <c r="D48" s="1"/>
      <c r="E48" s="1" t="s">
        <v>29</v>
      </c>
      <c r="F48" s="1" t="s">
        <v>90</v>
      </c>
      <c r="G48" s="1" t="str">
        <f t="shared" si="1"/>
        <v>未完了</v>
      </c>
      <c r="H48" s="18"/>
    </row>
    <row r="49" spans="2:8" x14ac:dyDescent="0.4">
      <c r="B49" s="16" t="s">
        <v>99</v>
      </c>
      <c r="C49" s="1">
        <v>0.5</v>
      </c>
      <c r="D49" s="1"/>
      <c r="E49" s="1" t="s">
        <v>107</v>
      </c>
      <c r="F49" s="1" t="s">
        <v>90</v>
      </c>
      <c r="G49" s="1" t="str">
        <f t="shared" si="1"/>
        <v>未完了</v>
      </c>
      <c r="H49" s="18"/>
    </row>
    <row r="50" spans="2:8" x14ac:dyDescent="0.4">
      <c r="B50" s="16" t="s">
        <v>100</v>
      </c>
      <c r="C50" s="1">
        <v>0.5</v>
      </c>
      <c r="D50" s="1"/>
      <c r="E50" s="1" t="s">
        <v>108</v>
      </c>
      <c r="F50" s="1" t="s">
        <v>90</v>
      </c>
      <c r="G50" s="1" t="str">
        <f t="shared" si="1"/>
        <v>未完了</v>
      </c>
      <c r="H50" s="18"/>
    </row>
    <row r="51" spans="2:8" x14ac:dyDescent="0.4">
      <c r="B51" s="16" t="s">
        <v>101</v>
      </c>
      <c r="C51" s="1">
        <v>0.5</v>
      </c>
      <c r="D51" s="1"/>
      <c r="E51" s="1" t="s">
        <v>29</v>
      </c>
      <c r="F51" s="1" t="s">
        <v>90</v>
      </c>
      <c r="G51" s="1" t="str">
        <f t="shared" si="1"/>
        <v>未完了</v>
      </c>
      <c r="H51" s="18"/>
    </row>
    <row r="52" spans="2:8" x14ac:dyDescent="0.4">
      <c r="B52" s="17" t="s">
        <v>38</v>
      </c>
      <c r="C52" s="1"/>
      <c r="D52" s="1"/>
      <c r="E52" s="1"/>
      <c r="F52" s="1" t="s">
        <v>90</v>
      </c>
      <c r="G52" s="1" t="s">
        <v>113</v>
      </c>
      <c r="H52" s="18"/>
    </row>
    <row r="53" spans="2:8" x14ac:dyDescent="0.4">
      <c r="B53" s="17" t="s">
        <v>72</v>
      </c>
      <c r="C53" s="1">
        <v>3</v>
      </c>
      <c r="D53" s="1"/>
      <c r="E53" s="1" t="s">
        <v>29</v>
      </c>
      <c r="F53" s="1" t="s">
        <v>90</v>
      </c>
      <c r="G53" s="1" t="str">
        <f t="shared" si="1"/>
        <v>未完了</v>
      </c>
      <c r="H53" s="18"/>
    </row>
    <row r="54" spans="2:8" x14ac:dyDescent="0.4">
      <c r="B54" s="17" t="s">
        <v>102</v>
      </c>
      <c r="C54" s="1">
        <v>2</v>
      </c>
      <c r="D54" s="1"/>
      <c r="E54" s="1" t="s">
        <v>110</v>
      </c>
      <c r="F54" s="1" t="s">
        <v>90</v>
      </c>
      <c r="G54" s="1" t="str">
        <f t="shared" si="1"/>
        <v>未完了</v>
      </c>
      <c r="H54" s="18"/>
    </row>
    <row r="55" spans="2:8" x14ac:dyDescent="0.4">
      <c r="B55" s="17" t="s">
        <v>103</v>
      </c>
      <c r="C55" s="1">
        <v>3</v>
      </c>
      <c r="D55" s="1"/>
      <c r="E55" s="1" t="s">
        <v>108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56" t="s">
        <v>39</v>
      </c>
      <c r="C56" s="1"/>
      <c r="D56" s="1"/>
      <c r="E56" s="1"/>
      <c r="F56" s="1" t="s">
        <v>89</v>
      </c>
      <c r="G56" s="1" t="s">
        <v>113</v>
      </c>
      <c r="H56" s="18"/>
    </row>
    <row r="57" spans="2:8" x14ac:dyDescent="0.4">
      <c r="B57" s="56" t="s">
        <v>64</v>
      </c>
      <c r="C57" s="1">
        <v>6</v>
      </c>
      <c r="D57" s="1"/>
      <c r="E57" s="1" t="s">
        <v>29</v>
      </c>
      <c r="F57" s="1" t="s">
        <v>89</v>
      </c>
      <c r="G57" s="1" t="str">
        <f t="shared" ref="G57:G78" si="2">IF(D57 &gt; 0,"完了","未完了")</f>
        <v>未完了</v>
      </c>
      <c r="H57" s="18"/>
    </row>
    <row r="58" spans="2:8" x14ac:dyDescent="0.4">
      <c r="B58" s="56" t="s">
        <v>65</v>
      </c>
      <c r="C58" s="1">
        <v>6</v>
      </c>
      <c r="D58" s="1"/>
      <c r="E58" s="1" t="s">
        <v>29</v>
      </c>
      <c r="F58" s="1" t="s">
        <v>89</v>
      </c>
      <c r="G58" s="1" t="str">
        <f t="shared" si="2"/>
        <v>未完了</v>
      </c>
      <c r="H58" s="18"/>
    </row>
    <row r="59" spans="2:8" x14ac:dyDescent="0.4">
      <c r="B59" s="56" t="s">
        <v>66</v>
      </c>
      <c r="C59" s="1">
        <v>8</v>
      </c>
      <c r="D59" s="1"/>
      <c r="E59" s="1" t="s">
        <v>29</v>
      </c>
      <c r="F59" s="1" t="s">
        <v>89</v>
      </c>
      <c r="G59" s="1" t="str">
        <f t="shared" si="2"/>
        <v>未完了</v>
      </c>
      <c r="H59" s="18"/>
    </row>
    <row r="60" spans="2:8" x14ac:dyDescent="0.4">
      <c r="B60" s="56" t="s">
        <v>94</v>
      </c>
      <c r="C60" s="1">
        <v>5</v>
      </c>
      <c r="D60" s="1"/>
      <c r="E60" s="1" t="s">
        <v>108</v>
      </c>
      <c r="F60" s="1" t="s">
        <v>89</v>
      </c>
      <c r="G60" s="1" t="str">
        <f t="shared" si="2"/>
        <v>未完了</v>
      </c>
      <c r="H60" s="18"/>
    </row>
    <row r="61" spans="2:8" x14ac:dyDescent="0.4">
      <c r="B61" s="56" t="s">
        <v>95</v>
      </c>
      <c r="C61" s="1">
        <v>5</v>
      </c>
      <c r="D61" s="1"/>
      <c r="E61" s="1" t="s">
        <v>108</v>
      </c>
      <c r="F61" s="1" t="s">
        <v>89</v>
      </c>
      <c r="G61" s="1" t="str">
        <f t="shared" si="2"/>
        <v>未完了</v>
      </c>
      <c r="H61" s="18"/>
    </row>
    <row r="62" spans="2:8" x14ac:dyDescent="0.4">
      <c r="B62" s="57" t="s">
        <v>40</v>
      </c>
      <c r="C62" s="1"/>
      <c r="D62" s="1"/>
      <c r="E62" s="1"/>
      <c r="F62" s="1" t="s">
        <v>26</v>
      </c>
      <c r="G62" s="1" t="str">
        <f t="shared" si="2"/>
        <v>未完了</v>
      </c>
      <c r="H62" s="18"/>
    </row>
    <row r="63" spans="2:8" x14ac:dyDescent="0.4">
      <c r="B63" s="58" t="s">
        <v>104</v>
      </c>
      <c r="C63" s="1">
        <v>7</v>
      </c>
      <c r="D63" s="1"/>
      <c r="E63" s="1" t="s">
        <v>29</v>
      </c>
      <c r="F63" s="1" t="s">
        <v>26</v>
      </c>
      <c r="G63" s="1" t="str">
        <f t="shared" si="2"/>
        <v>未完了</v>
      </c>
      <c r="H63" s="18"/>
    </row>
    <row r="64" spans="2:8" x14ac:dyDescent="0.4">
      <c r="B64" s="49" t="s">
        <v>68</v>
      </c>
      <c r="C64" s="1"/>
      <c r="D64" s="1"/>
      <c r="E64" s="1"/>
      <c r="F64" s="1" t="s">
        <v>90</v>
      </c>
      <c r="G64" s="1" t="s">
        <v>113</v>
      </c>
      <c r="H64" s="18"/>
    </row>
    <row r="65" spans="2:8" x14ac:dyDescent="0.4">
      <c r="B65" s="49" t="s">
        <v>112</v>
      </c>
      <c r="C65" s="1">
        <v>4</v>
      </c>
      <c r="D65" s="1"/>
      <c r="E65" s="1" t="s">
        <v>29</v>
      </c>
      <c r="F65" s="1" t="s">
        <v>90</v>
      </c>
      <c r="G65" s="1" t="str">
        <f t="shared" si="2"/>
        <v>未完了</v>
      </c>
      <c r="H65" s="18"/>
    </row>
    <row r="66" spans="2:8" x14ac:dyDescent="0.4">
      <c r="B66" s="49" t="s">
        <v>69</v>
      </c>
      <c r="C66" s="1">
        <v>1</v>
      </c>
      <c r="D66" s="1"/>
      <c r="E66" s="1" t="s">
        <v>107</v>
      </c>
      <c r="F66" s="1" t="s">
        <v>90</v>
      </c>
      <c r="G66" s="1" t="str">
        <f t="shared" si="2"/>
        <v>未完了</v>
      </c>
      <c r="H66" s="18"/>
    </row>
    <row r="67" spans="2:8" x14ac:dyDescent="0.4">
      <c r="B67" s="49" t="s">
        <v>70</v>
      </c>
      <c r="C67" s="1">
        <v>1</v>
      </c>
      <c r="D67" s="1"/>
      <c r="E67" s="1" t="s">
        <v>107</v>
      </c>
      <c r="F67" s="1" t="s">
        <v>90</v>
      </c>
      <c r="G67" s="1" t="str">
        <f t="shared" si="2"/>
        <v>未完了</v>
      </c>
      <c r="H67" s="18"/>
    </row>
    <row r="68" spans="2:8" x14ac:dyDescent="0.4">
      <c r="B68" s="49" t="s">
        <v>118</v>
      </c>
      <c r="C68" s="1">
        <v>1</v>
      </c>
      <c r="D68" s="1"/>
      <c r="E68" s="1" t="s">
        <v>29</v>
      </c>
      <c r="F68" s="1" t="s">
        <v>90</v>
      </c>
      <c r="G68" s="1" t="str">
        <f t="shared" si="2"/>
        <v>未完了</v>
      </c>
      <c r="H68" s="18"/>
    </row>
    <row r="69" spans="2:8" x14ac:dyDescent="0.4">
      <c r="B69" s="49" t="s">
        <v>71</v>
      </c>
      <c r="C69" s="1">
        <v>1</v>
      </c>
      <c r="D69" s="1"/>
      <c r="E69" s="1" t="s">
        <v>29</v>
      </c>
      <c r="F69" s="1" t="s">
        <v>90</v>
      </c>
      <c r="G69" s="1" t="str">
        <f t="shared" si="2"/>
        <v>未完了</v>
      </c>
      <c r="H69" s="18"/>
    </row>
    <row r="70" spans="2:8" x14ac:dyDescent="0.4">
      <c r="B70" s="17" t="s">
        <v>41</v>
      </c>
      <c r="C70" s="1"/>
      <c r="D70" s="1"/>
      <c r="E70" s="1"/>
      <c r="F70" s="1" t="s">
        <v>26</v>
      </c>
      <c r="G70" s="1" t="s">
        <v>113</v>
      </c>
      <c r="H70" s="18"/>
    </row>
    <row r="71" spans="2:8" x14ac:dyDescent="0.4">
      <c r="B71" s="17" t="s">
        <v>105</v>
      </c>
      <c r="C71" s="1">
        <v>1.5</v>
      </c>
      <c r="D71" s="1"/>
      <c r="E71" s="1" t="s">
        <v>29</v>
      </c>
      <c r="F71" s="1" t="s">
        <v>26</v>
      </c>
      <c r="G71" s="1" t="str">
        <f t="shared" si="2"/>
        <v>未完了</v>
      </c>
      <c r="H71" s="18"/>
    </row>
    <row r="72" spans="2:8" x14ac:dyDescent="0.4">
      <c r="B72" s="34" t="s">
        <v>106</v>
      </c>
      <c r="C72" s="10">
        <v>1.5</v>
      </c>
      <c r="D72" s="10"/>
      <c r="E72" s="10" t="s">
        <v>107</v>
      </c>
      <c r="F72" s="10" t="s">
        <v>26</v>
      </c>
      <c r="G72" s="10" t="str">
        <f t="shared" si="2"/>
        <v>未完了</v>
      </c>
      <c r="H72" s="20"/>
    </row>
    <row r="73" spans="2:8" x14ac:dyDescent="0.4">
      <c r="B73" s="68" t="s">
        <v>114</v>
      </c>
      <c r="C73" s="10"/>
      <c r="D73" s="10"/>
      <c r="E73" s="10"/>
      <c r="F73" s="10" t="s">
        <v>89</v>
      </c>
      <c r="G73" s="1" t="s">
        <v>113</v>
      </c>
      <c r="H73" s="20"/>
    </row>
    <row r="74" spans="2:8" x14ac:dyDescent="0.4">
      <c r="B74" s="69" t="s">
        <v>117</v>
      </c>
      <c r="C74" s="1">
        <v>3</v>
      </c>
      <c r="D74" s="1">
        <v>5</v>
      </c>
      <c r="E74" s="10" t="s">
        <v>29</v>
      </c>
      <c r="F74" s="10" t="s">
        <v>89</v>
      </c>
      <c r="G74" s="10" t="str">
        <f t="shared" si="2"/>
        <v>完了</v>
      </c>
      <c r="H74" s="18"/>
    </row>
    <row r="75" spans="2:8" x14ac:dyDescent="0.4">
      <c r="B75" s="69" t="s">
        <v>115</v>
      </c>
      <c r="C75" s="10">
        <v>1</v>
      </c>
      <c r="D75" s="10"/>
      <c r="E75" s="10" t="s">
        <v>29</v>
      </c>
      <c r="F75" s="10" t="s">
        <v>89</v>
      </c>
      <c r="G75" s="10" t="str">
        <f t="shared" si="2"/>
        <v>未完了</v>
      </c>
      <c r="H75" s="20" t="s">
        <v>116</v>
      </c>
    </row>
    <row r="76" spans="2:8" x14ac:dyDescent="0.4">
      <c r="B76" s="69" t="s">
        <v>123</v>
      </c>
      <c r="C76" s="1">
        <v>5</v>
      </c>
      <c r="D76" s="1"/>
      <c r="E76" s="10" t="s">
        <v>29</v>
      </c>
      <c r="F76" s="1" t="s">
        <v>89</v>
      </c>
      <c r="G76" s="10" t="str">
        <f t="shared" si="2"/>
        <v>未完了</v>
      </c>
      <c r="H76" s="18"/>
    </row>
    <row r="77" spans="2:8" x14ac:dyDescent="0.4">
      <c r="B77" s="71" t="s">
        <v>124</v>
      </c>
      <c r="C77" s="1"/>
      <c r="D77" s="1"/>
      <c r="E77" s="1"/>
      <c r="F77" s="1"/>
      <c r="G77" s="10" t="s">
        <v>113</v>
      </c>
      <c r="H77" s="18"/>
    </row>
    <row r="78" spans="2:8" x14ac:dyDescent="0.4">
      <c r="B78" s="71" t="s">
        <v>125</v>
      </c>
      <c r="C78" s="1">
        <v>5</v>
      </c>
      <c r="D78" s="1"/>
      <c r="E78" s="1" t="s">
        <v>29</v>
      </c>
      <c r="F78" s="1" t="s">
        <v>26</v>
      </c>
      <c r="G78" s="10" t="str">
        <f t="shared" si="2"/>
        <v>未完了</v>
      </c>
      <c r="H78" s="18"/>
    </row>
  </sheetData>
  <phoneticPr fontId="1"/>
  <dataValidations count="2">
    <dataValidation type="list" allowBlank="1" showInputMessage="1" showErrorMessage="1" sqref="E4:E72 E74:E78" xr:uid="{8019EF25-1BBC-4ED5-A76E-ECC3E7C9CBEF}">
      <formula1>"S,A,B,C"</formula1>
    </dataValidation>
    <dataValidation type="list" allowBlank="1" showInputMessage="1" showErrorMessage="1" sqref="F3:F78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workbookViewId="0">
      <selection activeCell="M13" sqref="M13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111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6">
        <f>G16+1</f>
        <v>25</v>
      </c>
      <c r="B17" s="66">
        <f t="shared" si="3"/>
        <v>26</v>
      </c>
      <c r="C17" s="66">
        <f t="shared" si="3"/>
        <v>27</v>
      </c>
      <c r="D17" s="66">
        <f t="shared" si="3"/>
        <v>28</v>
      </c>
      <c r="E17" s="66">
        <f t="shared" si="3"/>
        <v>29</v>
      </c>
      <c r="F17" s="66">
        <f t="shared" si="2"/>
        <v>30</v>
      </c>
      <c r="G17" s="66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2026-10-05T03:24:59Z</dcterms:modified>
  <cp:category/>
  <cp:contentStatus/>
</cp:coreProperties>
</file>