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NovaWing\"/>
    </mc:Choice>
  </mc:AlternateContent>
  <xr:revisionPtr revIDLastSave="0" documentId="13_ncr:1_{C616FDF2-61F2-4734-93A5-0F4A40B71E6F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<sst xmlns="http://schemas.openxmlformats.org/spreadsheetml/2006/main" count="362" uniqueCount="118">
  <si>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</si>
  <si>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</si>
  <si>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</si>
  <si>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</si>
  <si>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</si>
  <si>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</si>
  <si>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</si>
  <si>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</si>
  <si>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</si>
  <si>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</si>
  <si>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</si>
  <si>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</si>
  <si>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</si>
  <si>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</si>
  <si>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</si>
  <si>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</si>
  <si>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</si>
  <si>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</si>
  <si>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</si>
  <si>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</si>
  <si>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</si>
  <si>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</si>
  <si>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</si>
  <si>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</si>
  <si>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</si>
  <si>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</si>
  <si>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</si>
  <si>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</si>
  <si>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</si>
  <si>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</si>
  <si>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</si>
  <si>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</si>
  <si>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</si>
  <si>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</si>
  <si>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</si>
  <si>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</si>
  <si>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</si>
  <si>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</si>
  <si>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</si>
  <si>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</si>
  <si>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</si>
  <si>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</si>
  <si>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</si>
  <si>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</si>
  <si>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</si>
  <si>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</si>
  <si>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</si>
  <si>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</si>
  <si>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</si>
  <si>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</si>
  <si>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</si>
  <si>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</si>
  <si>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</si>
  <si>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</si>
  <si>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</si>
  <si>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</si>
  <si>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</si>
  <si>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</si>
  <si>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</si>
  <si>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</si>
  <si>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</si>
  <si>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</si>
  <si>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</si>
  <si>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</si>
  <si>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</si>
  <si>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</si>
  <si>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</si>
  <si>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</si>
  <si>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</si>
  <si>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</si>
  <si>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</si>
  <si>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</si>
  <si>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</si>
  <si>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</si>
  <si>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</si>
  <si>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</si>
  <si>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</si>
  <si>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</si>
  <si>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</si>
  <si>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</si>
  <si>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</si>
  <si>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</si>
  <si>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</si>
  <si>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</si>
  <si>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</si>
  <si>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</si>
  <si>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</si>
  <si>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</si>
  <si>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ーゲーム開始</t>
    <rPh sb="5" eb="7">
      <t>カイシ</t>
    </rPh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</si>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</sst>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9" totalsRowShown="0" headerRowDxfId="9" headerRowBorderDxfId="8" tableBorderDxfId="7">
  <autoFilter ref="B2:H89" xr:uid="{E0FC3BE7-AE2C-45A4-BCE5-94B11A6E92A6}">
    <filterColumn colId="4">
      <filters>
        <filter val="ベータ"/>
      </filters>
    </filterColumn>
  </autoFilter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9"/>
  <sheetViews>
    <sheetView tabSelected="1" zoomScale="70" zoomScaleNormal="70" workbookViewId="0">
      <selection activeCell="H58" sqref="H58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ht="19.5" hidden="1" thickBot="1" x14ac:dyDescent="0.45">
      <c r="B3" s="15" t="s">
        <v>9</v>
      </c>
      <c r="C3" s="8"/>
      <c r="D3" s="8"/>
      <c r="E3" s="8"/>
      <c r="F3" s="8"/>
      <c r="G3" s="8" t="s">
        <v>10</v>
      </c>
      <c r="H3" s="30"/>
    </row>
    <row r="4" spans="1:13" ht="19.5" hidden="1" thickBot="1" x14ac:dyDescent="0.45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ht="19.5" hidden="1" thickBot="1" x14ac:dyDescent="0.45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hidden="1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ht="19.5" hidden="1" thickBot="1" x14ac:dyDescent="0.45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ht="19.5" hidden="1" thickBot="1" x14ac:dyDescent="0.45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SUMIF(F$4:F$89,J8,C$4:C$89)</f>
        <v>73.5</v>
      </c>
      <c r="L8" s="3">
        <f>K8-SUMIFS(テーブル1[見積コスト],テーブル1[バージョン],J8,テーブル1[ステータス],"完了")</f>
        <v>3</v>
      </c>
    </row>
    <row r="9" spans="1:13" ht="19.5" hidden="1" thickBot="1" x14ac:dyDescent="0.45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SUMIF(F$4:F$89,J9,C$4:C$89)</f>
        <v>33</v>
      </c>
      <c r="L9" s="3">
        <f>K9-SUMIFS(テーブル1[見積コスト],テーブル1[バージョン],J9,テーブル1[ステータス],"完了")</f>
        <v>6</v>
      </c>
    </row>
    <row r="10" spans="1:13" ht="19.5" hidden="1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SUMIF(F$4:F$89,J10,C$4:C$89)</f>
        <v>38.5</v>
      </c>
      <c r="L10" s="3">
        <f>K10-SUMIFS(テーブル1[見積コスト],テーブル1[バージョン],J10,テーブル1[ステータス],"完了")</f>
        <v>38.5</v>
      </c>
    </row>
    <row r="11" spans="1:13" ht="19.5" hidden="1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SUMIF(F$4:F$89,J11,C$4:C$89)</f>
        <v>0</v>
      </c>
      <c r="L11" s="3">
        <f>K11-SUMIFS(テーブル1[見積コスト],テーブル1[バージョン],J11,テーブル1[ステータス],"完了")</f>
        <v>0</v>
      </c>
    </row>
    <row r="12" spans="1:13" ht="19.5" hidden="1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145</v>
      </c>
      <c r="L12" s="36">
        <f>SUM(L8:L11)</f>
        <v>47.5</v>
      </c>
    </row>
    <row r="13" spans="1:13" ht="19.5" hidden="1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ht="19.5" hidden="1" thickBot="1" x14ac:dyDescent="0.45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hidden="1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1.7261904761904763</v>
      </c>
      <c r="M15" s="57">
        <f ca="1">(K12-L12) / _xlfn.DAYS(TODAY(),J15)</f>
        <v>1.3732394366197183</v>
      </c>
    </row>
    <row r="16" spans="1:13" ht="19.5" hidden="1" thickBot="1" x14ac:dyDescent="0.45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hidden="1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13</v>
      </c>
    </row>
    <row r="18" spans="2:11" ht="38.25" hidden="1" thickBot="1" x14ac:dyDescent="0.45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hidden="1" customHeight="1" x14ac:dyDescent="0.45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ht="19.5" hidden="1" thickBot="1" x14ac:dyDescent="0.45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ht="19.5" hidden="1" thickBot="1" x14ac:dyDescent="0.45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hidden="1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ht="19.5" hidden="1" thickBot="1" x14ac:dyDescent="0.45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ht="19.5" hidden="1" thickBot="1" x14ac:dyDescent="0.45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ht="19.5" hidden="1" thickBot="1" x14ac:dyDescent="0.45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ht="19.5" hidden="1" thickBot="1" x14ac:dyDescent="0.45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hidden="1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ht="19.5" hidden="1" thickBot="1" x14ac:dyDescent="0.45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ht="19.5" hidden="1" thickBot="1" x14ac:dyDescent="0.45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ht="19.5" hidden="1" thickBot="1" x14ac:dyDescent="0.45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ht="19.5" hidden="1" thickBot="1" x14ac:dyDescent="0.45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hidden="1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/>
      <c r="E34" s="1" t="s">
        <v>12</v>
      </c>
      <c r="F34" s="1" t="s">
        <v>30</v>
      </c>
      <c r="G34" s="1" t="s">
        <v>29</v>
      </c>
      <c r="H34" s="78"/>
    </row>
    <row r="35" spans="2:8" x14ac:dyDescent="0.4">
      <c r="B35" s="77" t="s">
        <v>61</v>
      </c>
      <c r="C35" s="1">
        <v>4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ht="19.5" hidden="1" thickBot="1" x14ac:dyDescent="0.45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ht="19.5" hidden="1" thickBot="1" x14ac:dyDescent="0.45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ht="19.5" hidden="1" thickBot="1" x14ac:dyDescent="0.45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ht="19.5" hidden="1" thickBot="1" x14ac:dyDescent="0.45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hidden="1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/>
      <c r="E66" s="1" t="s">
        <v>12</v>
      </c>
      <c r="F66" s="1" t="s">
        <v>30</v>
      </c>
      <c r="G66" s="1" t="s">
        <v>29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1</v>
      </c>
      <c r="D69" s="1"/>
      <c r="E69" s="1" t="s">
        <v>12</v>
      </c>
      <c r="F69" s="1" t="s">
        <v>30</v>
      </c>
      <c r="G69" s="1" t="s">
        <v>29</v>
      </c>
      <c r="H69" s="3"/>
    </row>
    <row r="70" spans="2:8" x14ac:dyDescent="0.4">
      <c r="B70" s="14" t="s">
        <v>90</v>
      </c>
      <c r="C70" s="1">
        <v>3</v>
      </c>
      <c r="D70" s="1"/>
      <c r="E70" s="1" t="s">
        <v>12</v>
      </c>
      <c r="F70" s="1" t="s">
        <v>30</v>
      </c>
      <c r="G70" s="1" t="s">
        <v>29</v>
      </c>
      <c r="H70" s="3"/>
    </row>
    <row r="71" spans="2:8" x14ac:dyDescent="0.4">
      <c r="B71" s="14" t="s">
        <v>91</v>
      </c>
      <c r="C71" s="1">
        <v>3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x14ac:dyDescent="0.4">
      <c r="B72" s="14" t="s">
        <v>92</v>
      </c>
      <c r="C72" s="1">
        <v>1</v>
      </c>
      <c r="D72" s="1"/>
      <c r="E72" s="1" t="s">
        <v>12</v>
      </c>
      <c r="F72" s="1" t="s">
        <v>30</v>
      </c>
      <c r="G72" s="1" t="s">
        <v>29</v>
      </c>
      <c r="H72" s="3"/>
    </row>
    <row r="73" spans="2:8" ht="19.5" thickBot="1" x14ac:dyDescent="0.45">
      <c r="B73" s="67" t="s">
        <v>93</v>
      </c>
      <c r="C73" s="4">
        <v>1</v>
      </c>
      <c r="D73" s="4"/>
      <c r="E73" s="4" t="s">
        <v>28</v>
      </c>
      <c r="F73" s="4" t="s">
        <v>30</v>
      </c>
      <c r="G73" s="4" t="s">
        <v>29</v>
      </c>
      <c r="H73" s="5"/>
    </row>
    <row r="74" spans="2:8" hidden="1" x14ac:dyDescent="0.4">
      <c r="B74" s="68" t="s">
        <v>94</v>
      </c>
      <c r="C74" s="69"/>
      <c r="D74" s="69"/>
      <c r="E74" s="69"/>
      <c r="F74" s="69"/>
      <c r="G74" s="1" t="s">
        <v>29</v>
      </c>
      <c r="H74" s="70"/>
    </row>
    <row r="75" spans="2:8" hidden="1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14</v>
      </c>
      <c r="H75" s="12"/>
    </row>
    <row r="76" spans="2:8" hidden="1" x14ac:dyDescent="0.4">
      <c r="B76" s="71" t="s">
        <v>96</v>
      </c>
      <c r="C76" s="11">
        <v>5</v>
      </c>
      <c r="D76" s="11">
        <v>5</v>
      </c>
      <c r="E76" s="11" t="s">
        <v>12</v>
      </c>
      <c r="F76" s="11" t="s">
        <v>13</v>
      </c>
      <c r="G76" s="11" t="s">
        <v>117</v>
      </c>
      <c r="H76" s="12"/>
    </row>
    <row r="77" spans="2:8" hidden="1" x14ac:dyDescent="0.4">
      <c r="B77" s="71" t="s">
        <v>97</v>
      </c>
      <c r="C77" s="11">
        <v>10</v>
      </c>
      <c r="D77" s="11">
        <v>10</v>
      </c>
      <c r="E77" s="11" t="s">
        <v>57</v>
      </c>
      <c r="F77" s="11" t="s">
        <v>13</v>
      </c>
      <c r="G77" s="11" t="s">
        <v>32</v>
      </c>
      <c r="H77" s="12"/>
    </row>
    <row r="78" spans="2:8" hidden="1" x14ac:dyDescent="0.4">
      <c r="B78" s="87" t="s">
        <v>98</v>
      </c>
      <c r="C78" s="88"/>
      <c r="D78" s="88"/>
      <c r="E78" s="88"/>
      <c r="F78" s="88"/>
      <c r="G78" s="88" t="s">
        <v>14</v>
      </c>
      <c r="H78" s="89"/>
    </row>
    <row r="79" spans="2:8" hidden="1" x14ac:dyDescent="0.4">
      <c r="B79" s="90" t="s">
        <v>99</v>
      </c>
      <c r="C79" s="1">
        <v>4</v>
      </c>
      <c r="D79" s="1">
        <v>4</v>
      </c>
      <c r="E79" s="1" t="s">
        <v>57</v>
      </c>
      <c r="F79" s="11" t="s">
        <v>13</v>
      </c>
      <c r="G79" s="11" t="s">
        <v>14</v>
      </c>
      <c r="H79" s="78" t="s">
        <v>100</v>
      </c>
    </row>
    <row r="80" spans="2:8" hidden="1" x14ac:dyDescent="0.4">
      <c r="B80" s="94" t="s">
        <v>101</v>
      </c>
      <c r="C80" s="11">
        <v>5</v>
      </c>
      <c r="D80" s="11">
        <v>5</v>
      </c>
      <c r="E80" s="11" t="s">
        <v>57</v>
      </c>
      <c r="F80" s="11" t="s">
        <v>13</v>
      </c>
      <c r="G80" s="11" t="s">
        <v>14</v>
      </c>
      <c r="H80" s="93" t="s">
        <v>102</v>
      </c>
    </row>
    <row r="81" spans="2:8" hidden="1" x14ac:dyDescent="0.4">
      <c r="B81" s="91" t="s">
        <v>103</v>
      </c>
      <c r="C81" s="88"/>
      <c r="D81" s="88"/>
      <c r="E81" s="88"/>
      <c r="F81" s="88"/>
      <c r="G81" s="75" t="s">
        <v>10</v>
      </c>
      <c r="H81" s="89"/>
    </row>
    <row r="82" spans="2:8" hidden="1" x14ac:dyDescent="0.4">
      <c r="B82" s="92" t="s">
        <v>104</v>
      </c>
      <c r="C82" s="1">
        <v>6</v>
      </c>
      <c r="D82" s="1"/>
      <c r="E82" s="1" t="s">
        <v>57</v>
      </c>
      <c r="F82" s="1" t="s">
        <v>44</v>
      </c>
      <c r="G82" s="1" t="s">
        <v>10</v>
      </c>
      <c r="H82" s="78"/>
    </row>
    <row r="83" spans="2:8" ht="19.5" hidden="1" thickBot="1" x14ac:dyDescent="0.45">
      <c r="B83" s="96" t="s">
        <v>105</v>
      </c>
      <c r="C83" s="80">
        <v>2</v>
      </c>
      <c r="D83" s="80">
        <v>2</v>
      </c>
      <c r="E83" s="80" t="s">
        <v>57</v>
      </c>
      <c r="F83" s="80" t="s">
        <v>13</v>
      </c>
      <c r="G83" s="80" t="s">
        <v>14</v>
      </c>
      <c r="H83" s="81"/>
    </row>
    <row r="84" spans="2:8" hidden="1" x14ac:dyDescent="0.4">
      <c r="B84" s="95" t="s">
        <v>106</v>
      </c>
      <c r="C84" s="65"/>
      <c r="D84" s="65"/>
      <c r="E84" s="65"/>
      <c r="F84" s="65"/>
      <c r="G84" s="65" t="s">
        <v>10</v>
      </c>
      <c r="H84" s="66"/>
    </row>
    <row r="85" spans="2:8" hidden="1" x14ac:dyDescent="0.4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hidden="1" x14ac:dyDescent="0.4">
      <c r="B86" s="72" t="s">
        <v>108</v>
      </c>
      <c r="C86" s="11">
        <v>1</v>
      </c>
      <c r="D86" s="11">
        <v>1</v>
      </c>
      <c r="E86" s="11" t="s">
        <v>57</v>
      </c>
      <c r="F86" s="11" t="s">
        <v>44</v>
      </c>
      <c r="G86" s="11" t="s">
        <v>14</v>
      </c>
      <c r="H86" s="33"/>
    </row>
    <row r="87" spans="2:8" hidden="1" x14ac:dyDescent="0.4">
      <c r="B87" s="13" t="s">
        <v>109</v>
      </c>
      <c r="C87" s="8">
        <v>1</v>
      </c>
      <c r="D87" s="8">
        <v>1</v>
      </c>
      <c r="E87" s="8" t="s">
        <v>57</v>
      </c>
      <c r="F87" s="8" t="s">
        <v>13</v>
      </c>
      <c r="G87" s="8" t="s">
        <v>32</v>
      </c>
      <c r="H87" s="9"/>
    </row>
    <row r="88" spans="2:8" hidden="1" x14ac:dyDescent="0.4">
      <c r="B88" s="14" t="s">
        <v>110</v>
      </c>
      <c r="C88" s="1">
        <v>1</v>
      </c>
      <c r="D88" s="1">
        <v>1</v>
      </c>
      <c r="E88" s="1" t="s">
        <v>57</v>
      </c>
      <c r="F88" s="1" t="s">
        <v>13</v>
      </c>
      <c r="G88" s="1" t="s">
        <v>14</v>
      </c>
      <c r="H88" s="3"/>
    </row>
    <row r="89" spans="2:8" ht="19.5" hidden="1" thickBot="1" x14ac:dyDescent="0.45">
      <c r="B89" s="67" t="s">
        <v>111</v>
      </c>
      <c r="C89" s="4">
        <v>1</v>
      </c>
      <c r="D89" s="4">
        <v>1</v>
      </c>
      <c r="E89" s="4" t="s">
        <v>57</v>
      </c>
      <c r="F89" s="4" t="s">
        <v>13</v>
      </c>
      <c r="G89" s="4" t="s">
        <v>14</v>
      </c>
      <c r="H89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112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113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114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115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116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4"/>
  <sheetViews>
    <sheetView workbookViewId="0">
      <selection activeCell="A5" sqref="A5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2026-08-20T16:03:27Z</dcterms:modified>
  <cp:category/>
  <cp:contentStatus/>
</cp:coreProperties>
</file>