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172208CA-2277-4A02-8E9D-1086C60D23A0}" xr6:coauthVersionLast="47" xr6:coauthVersionMax="47" xr10:uidLastSave="{00000000-0000-0000-0000-000000000000}"/>
  <bookViews>
    <workbookView xWindow="2595" yWindow="3330" windowWidth="21600" windowHeight="11295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5" i="2" l="1"/>
  <c r="G98" i="2"/>
  <c r="G106" i="2"/>
  <c r="G104" i="2"/>
  <c r="G103" i="2"/>
  <c r="G97" i="2"/>
  <c r="G94" i="2"/>
  <c r="G88" i="2"/>
  <c r="G87" i="2"/>
  <c r="G83" i="2"/>
  <c r="G82" i="2"/>
  <c r="G74" i="2"/>
  <c r="G73" i="2"/>
  <c r="G72" i="2"/>
  <c r="G71" i="2"/>
  <c r="G70" i="2"/>
  <c r="G36" i="2"/>
  <c r="G19" i="2"/>
  <c r="G10" i="2"/>
  <c r="G6" i="2"/>
  <c r="G5" i="2"/>
  <c r="K10" i="2"/>
  <c r="K9" i="2"/>
  <c r="K8" i="2"/>
  <c r="K11" i="2"/>
  <c r="L11" i="2" s="1"/>
  <c r="G100" i="2"/>
  <c r="G101" i="2"/>
  <c r="G93" i="2"/>
  <c r="G96" i="2"/>
  <c r="G8" i="2"/>
  <c r="G92" i="2"/>
  <c r="G9" i="2"/>
  <c r="G80" i="2"/>
  <c r="G90" i="2"/>
  <c r="G91" i="2"/>
  <c r="G77" i="2"/>
  <c r="J17" i="2"/>
  <c r="J15" i="2"/>
  <c r="G17" i="2"/>
  <c r="G18" i="2"/>
  <c r="G21" i="2"/>
  <c r="G22" i="2"/>
  <c r="G23" i="2"/>
  <c r="G24" i="2"/>
  <c r="G26" i="2"/>
  <c r="G27" i="2"/>
  <c r="G29" i="2"/>
  <c r="G30" i="2"/>
  <c r="G32" i="2"/>
  <c r="G33" i="2"/>
  <c r="G34" i="2"/>
  <c r="G35" i="2"/>
  <c r="G38" i="2"/>
  <c r="G39" i="2"/>
  <c r="G40" i="2"/>
  <c r="G41" i="2"/>
  <c r="G43" i="2"/>
  <c r="G44" i="2"/>
  <c r="G45" i="2"/>
  <c r="G46" i="2"/>
  <c r="G47" i="2"/>
  <c r="G50" i="2"/>
  <c r="G51" i="2"/>
  <c r="G52" i="2"/>
  <c r="G54" i="2"/>
  <c r="G55" i="2"/>
  <c r="G56" i="2"/>
  <c r="G57" i="2"/>
  <c r="G59" i="2"/>
  <c r="G60" i="2"/>
  <c r="G61" i="2"/>
  <c r="G63" i="2"/>
  <c r="G64" i="2"/>
  <c r="G65" i="2"/>
  <c r="G66" i="2"/>
  <c r="G67" i="2"/>
  <c r="G68" i="2"/>
  <c r="G69" i="2"/>
  <c r="G78" i="2"/>
  <c r="G79" i="2"/>
  <c r="G81" i="2"/>
  <c r="G85" i="2"/>
  <c r="G86" i="2"/>
  <c r="G12" i="2"/>
  <c r="G13" i="2"/>
  <c r="G15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<sst xmlns="http://schemas.openxmlformats.org/spreadsheetml/2006/main" count="385" uniqueCount="157">
  <si>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</si>
  <si>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</si>
  <si>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</si>
  <si>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</si>
  <si>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</si>
  <si>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</si>
  <si>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</si>
  <si>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</si>
  <si>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</si>
  <si>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</si>
  <si>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</si>
  <si>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</si>
  <si>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</si>
  <si>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</si>
  <si>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</si>
  <si>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</si>
  <si>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</si>
  <si>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</si>
  <si>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</si>
  <si>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</si>
  <si>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</si>
  <si>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</si>
  <si>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</si>
  <si>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</si>
  <si>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</si>
  <si>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</si>
  <si>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</si>
  <si>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</si>
  <si>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</si>
  <si>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</si>
  <si>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</si>
  <si>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</si>
  <si>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</si>
  <si>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</si>
  <si>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</si>
  <si>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</si>
  <si>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</si>
  <si>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</si>
  <si>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</si>
  <si>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</si>
  <si>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</si>
  <si>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</si>
  <si>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</si>
  <si>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</si>
  <si>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</si>
  <si>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</si>
  <si>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</si>
  <si>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</si>
  <si>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</si>
  <si>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</si>
  <si>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</si>
  <si>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</si>
  <si>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</si>
  <si>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</si>
  <si>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</si>
  <si>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</si>
  <si>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</si>
  <si>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</si>
  <si>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</si>
  <si>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</si>
  <si>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</si>
  <si>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</si>
  <si>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</si>
  <si>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</si>
  <si>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</si>
  <si>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</si>
  <si>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</si>
  <si>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</si>
  <si>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</si>
  <si>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</si>
  <si>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</si>
  <si>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</si>
  <si>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</si>
  <si>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</si>
  <si>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</si>
  <si>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</si>
  <si>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</si>
  <si>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</si>
  <si>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</si>
  <si>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</si>
  <si>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</si>
  <si>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</si>
  <si>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</si>
  <si>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</si>
  <si>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</si>
  <si>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</si>
  <si>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</si>
  <si>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</si>
  <si>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</si>
  <si>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</si>
  <si>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</si>
  <si>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</si>
  <si>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</si>
  <si>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</si>
  <si>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</si>
  <si>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</si>
  <si>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</si>
  <si>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</si>
  <si>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</si>
  <si>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</si>
  <si>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</si>
  <si>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</si>
  <si>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</si>
  <si>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</si>
  <si>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</si>
  <si>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</si>
  <si>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</si>
  <si>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</si>
  <si>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</si>
  <si>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</si>
  <si>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</si>
  <si>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</si>
  <si>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</si>
  <si>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</si>
  <si>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</si>
  <si>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</si>
  <si>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</si>
  <si>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</si>
  <si>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</si>
  <si>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</si>
  <si>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</si>
  <si>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</si>
  <si>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</si>
  <si>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</si>
  <si>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</si>
  <si>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</si>
  <si>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</si>
  <si>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</si>
  <si>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</si>
  <si>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</si>
  <si>
    <t>　ー1面の配置</t>
    <phoneticPr fontId="1"/>
  </si>
  <si>
    <t>　ー傾けた方向への移動の加速</t>
  </si>
  <si>
    <t>　ー移動の加速度</t>
  </si>
  <si>
    <t>　ーカウンター成功時のスロー・カメラの揺れ</t>
  </si>
  <si>
    <t>　ー当たり判定の共通化・カウンター判定</t>
  </si>
  <si>
    <t>　ー登場演出</t>
  </si>
  <si>
    <t>　ーチュートリアル後にステージ開始</t>
  </si>
  <si>
    <t>　ー景色の島</t>
  </si>
  <si>
    <t>　ー難易度調整(初心者がクリアできない)</t>
  </si>
  <si>
    <t>　ー2面の配置</t>
  </si>
  <si>
    <t>　ーステージ開始の演出</t>
  </si>
  <si>
    <t>　ー1文字ずつ表示する演出</t>
  </si>
  <si>
    <t>　ーグリッチ</t>
  </si>
  <si>
    <t>　ー見た目の作り直し・軽量化</t>
  </si>
  <si>
    <t>　ーカウンター成功時のフラッシュ</t>
  </si>
  <si>
    <t>　ーその他のバグ修正</t>
  </si>
  <si>
    <t>　ーステータスのCSV化</t>
  </si>
  <si>
    <t>カメラ</t>
  </si>
  <si>
    <t>　ー画面端での遠近感の修正</t>
  </si>
  <si>
    <t>　ー宙返り中も機体を映す</t>
  </si>
  <si>
    <t>システム</t>
  </si>
  <si>
    <t>完了</t>
  </si>
  <si>
    <t>　ーエフェクト管理・入力・ポーズ・デバッグ表示の整備</t>
  </si>
  <si>
    <t>　ー個体ごとに動きと攻撃のタイミングをずらす</t>
  </si>
  <si>
    <t>B</t>
    <phoneticPr fontId="1"/>
  </si>
  <si>
    <t>　ーステージの切り替え(1面クリア→2面)</t>
  </si>
  <si>
    <t>　ー2面の建物をUnityで配置して読み込む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</si>
</sst>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DD7EE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  <xf numFmtId="0" fontId="0" fillId="27" borderId="15" xfId="0" applyFill="1" applyBorder="1">
      <alignment vertical="center"/>
    </xf>
    <xf numFmtId="0" fontId="7" fillId="28" borderId="15" xfId="0" applyFont="1" applyFill="1" applyBorder="1">
      <alignment vertical="center"/>
    </xf>
    <xf numFmtId="0" fontId="4" fillId="29" borderId="15" xfId="0" applyFont="1" applyFill="1" applyBorder="1">
      <alignment vertical="center"/>
    </xf>
    <xf numFmtId="0" fontId="4" fillId="30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106" totalsRowShown="0" headerRowDxfId="10" headerRowBorderDxfId="9" tableBorderDxfId="8" totalsRowBorderDxfId="7">
  <autoFilter ref="B2:H10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106"/>
  <sheetViews>
    <sheetView tabSelected="1" topLeftCell="C81" zoomScaleNormal="100" workbookViewId="0">
      <selection activeCell="H91" sqref="H91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151.5" bestFit="1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112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3" t="s">
        <v>131</v>
      </c>
      <c r="C5" s="1">
        <v>1</v>
      </c>
      <c r="D5" s="1">
        <v>1</v>
      </c>
      <c r="E5" s="1" t="s">
        <v>29</v>
      </c>
      <c r="F5" s="1" t="s">
        <v>89</v>
      </c>
      <c r="G5" s="1" t="str">
        <f>IF(D5 &gt; 0,"完了","未完了")</f>
        <v>完了</v>
      </c>
      <c r="H5" s="18"/>
    </row>
    <row r="6" spans="1:13" ht="19.5" thickBot="1" x14ac:dyDescent="0.45">
      <c r="B6" s="73" t="s">
        <v>132</v>
      </c>
      <c r="C6" s="1">
        <v>2</v>
      </c>
      <c r="D6" s="1"/>
      <c r="E6" s="1" t="s">
        <v>107</v>
      </c>
      <c r="F6" s="1" t="s">
        <v>89</v>
      </c>
      <c r="G6" s="1" t="str">
        <f>IF(D6 &gt; 0,"完了","未完了")</f>
        <v>未完了</v>
      </c>
      <c r="H6" s="18"/>
      <c r="J6" s="24"/>
    </row>
    <row r="7" spans="1:13" x14ac:dyDescent="0.4">
      <c r="B7" s="70" t="s">
        <v>118</v>
      </c>
      <c r="C7" s="1"/>
      <c r="D7" s="1"/>
      <c r="E7" s="1"/>
      <c r="F7" s="1"/>
      <c r="G7" s="1" t="s">
        <v>121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70" t="s">
        <v>120</v>
      </c>
      <c r="C8" s="1">
        <v>6</v>
      </c>
      <c r="D8" s="1">
        <v>6</v>
      </c>
      <c r="E8" s="1" t="s">
        <v>29</v>
      </c>
      <c r="F8" s="1" t="s">
        <v>89</v>
      </c>
      <c r="G8" s="1" t="str">
        <f t="shared" ref="G8:G9" si="0">IF(D8 &gt; 0,"完了","未完了")</f>
        <v>完了</v>
      </c>
      <c r="H8" s="18"/>
      <c r="J8" s="2" t="s">
        <v>12</v>
      </c>
      <c r="K8" s="1">
        <f>SUMIF(テーブル1[バージョン],J8,テーブル1[見積コスト])</f>
        <v>88</v>
      </c>
      <c r="L8" s="3">
        <f>K8-SUMIFS(テーブル1[見積コスト],テーブル1[バージョン],J8,テーブル1[ステータス],"完了")</f>
        <v>17</v>
      </c>
    </row>
    <row r="9" spans="1:13" x14ac:dyDescent="0.4">
      <c r="B9" s="70" t="s">
        <v>119</v>
      </c>
      <c r="C9" s="1">
        <v>2</v>
      </c>
      <c r="D9" s="1">
        <v>2</v>
      </c>
      <c r="E9" s="1" t="s">
        <v>29</v>
      </c>
      <c r="F9" s="1" t="s">
        <v>89</v>
      </c>
      <c r="G9" s="1" t="str">
        <f t="shared" si="0"/>
        <v>完了</v>
      </c>
      <c r="H9" s="18"/>
      <c r="J9" s="2" t="s">
        <v>16</v>
      </c>
      <c r="K9" s="1">
        <f>SUMIF(テーブル1[バージョン],J9,テーブル1[見積コスト])</f>
        <v>67</v>
      </c>
      <c r="L9" s="3">
        <f>K9-SUMIFS(テーブル1[見積コスト],テーブル1[バージョン],J9,テーブル1[ステータス],"完了")</f>
        <v>57</v>
      </c>
    </row>
    <row r="10" spans="1:13" x14ac:dyDescent="0.4">
      <c r="B10" s="70" t="s">
        <v>133</v>
      </c>
      <c r="C10" s="1">
        <v>2</v>
      </c>
      <c r="D10" s="1">
        <v>3</v>
      </c>
      <c r="E10" s="1" t="s">
        <v>106</v>
      </c>
      <c r="F10" s="1" t="s">
        <v>89</v>
      </c>
      <c r="G10" s="1" t="str">
        <f>IF(D10 &gt; 0,"完了","未完了")</f>
        <v>完了</v>
      </c>
      <c r="H10" s="18"/>
      <c r="J10" s="2" t="s">
        <v>17</v>
      </c>
      <c r="K10" s="1">
        <f>SUMIF(テーブル1[バージョン],J10,テーブル1[見積コスト])</f>
        <v>44.5</v>
      </c>
      <c r="L10" s="3">
        <f>K10-SUMIFS(テーブル1[見積コスト],テーブル1[バージョン],J10,テーブル1[ステータス],"完了")</f>
        <v>35.5</v>
      </c>
    </row>
    <row r="11" spans="1:13" ht="19.5" thickBot="1" x14ac:dyDescent="0.45">
      <c r="B11" s="47" t="s">
        <v>46</v>
      </c>
      <c r="C11" s="1"/>
      <c r="D11" s="1"/>
      <c r="E11" s="1"/>
      <c r="F11" s="1" t="s">
        <v>89</v>
      </c>
      <c r="G11" s="1" t="s">
        <v>10</v>
      </c>
      <c r="H11" s="18"/>
      <c r="J11" s="9" t="s">
        <v>19</v>
      </c>
      <c r="K11" s="1">
        <f>SUMIF(F$4:F$101,J11,C$4:C$101)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7" t="s">
        <v>47</v>
      </c>
      <c r="C12" s="1">
        <v>3</v>
      </c>
      <c r="D12" s="1">
        <v>3</v>
      </c>
      <c r="E12" s="1" t="s">
        <v>29</v>
      </c>
      <c r="F12" s="1" t="s">
        <v>89</v>
      </c>
      <c r="G12" s="1" t="str">
        <f t="shared" ref="G12:G61" si="1">IF(D12 &gt; 0,"完了","未完了")</f>
        <v>完了</v>
      </c>
      <c r="H12" s="18"/>
      <c r="J12" s="21" t="s">
        <v>20</v>
      </c>
      <c r="K12" s="22">
        <f>SUM(K8:K11)</f>
        <v>199.5</v>
      </c>
      <c r="L12" s="23">
        <f>SUM(L8:L11)</f>
        <v>109.5</v>
      </c>
    </row>
    <row r="13" spans="1:13" ht="19.5" thickBot="1" x14ac:dyDescent="0.45">
      <c r="B13" s="47" t="s">
        <v>48</v>
      </c>
      <c r="C13" s="1">
        <v>1</v>
      </c>
      <c r="D13" s="1">
        <v>1</v>
      </c>
      <c r="E13" s="1" t="s">
        <v>107</v>
      </c>
      <c r="F13" s="1" t="s">
        <v>89</v>
      </c>
      <c r="G13" s="1" t="str">
        <f t="shared" si="1"/>
        <v>完了</v>
      </c>
      <c r="H13" s="18"/>
    </row>
    <row r="14" spans="1:13" x14ac:dyDescent="0.4">
      <c r="B14" s="17" t="s">
        <v>18</v>
      </c>
      <c r="C14" s="1"/>
      <c r="D14" s="1"/>
      <c r="E14" s="1"/>
      <c r="F14" s="1" t="s">
        <v>26</v>
      </c>
      <c r="G14" s="1" t="s">
        <v>10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7" t="s">
        <v>49</v>
      </c>
      <c r="C15" s="1">
        <v>1</v>
      </c>
      <c r="D15" s="1"/>
      <c r="E15" s="1" t="s">
        <v>106</v>
      </c>
      <c r="F15" s="1" t="s">
        <v>26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1.9182692307692308</v>
      </c>
      <c r="M15" s="29">
        <f ca="1">(K12-L12) / _xlfn.DAYS(TODAY(),J15)</f>
        <v>2.3684210526315788</v>
      </c>
    </row>
    <row r="16" spans="1:13" x14ac:dyDescent="0.4">
      <c r="B16" s="52" t="s">
        <v>21</v>
      </c>
      <c r="C16" s="1"/>
      <c r="D16" s="1"/>
      <c r="E16" s="1"/>
      <c r="F16" s="1" t="s">
        <v>89</v>
      </c>
      <c r="G16" s="1" t="s">
        <v>112</v>
      </c>
      <c r="H16" s="18"/>
      <c r="J16" s="30" t="s">
        <v>27</v>
      </c>
      <c r="K16" s="31" t="s">
        <v>28</v>
      </c>
    </row>
    <row r="17" spans="2:11" ht="19.5" thickBot="1" x14ac:dyDescent="0.45">
      <c r="B17" s="52" t="s">
        <v>97</v>
      </c>
      <c r="C17" s="1">
        <v>0.5</v>
      </c>
      <c r="D17" s="1"/>
      <c r="E17" s="1" t="s">
        <v>154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66</v>
      </c>
    </row>
    <row r="18" spans="2:11" x14ac:dyDescent="0.4">
      <c r="B18" s="52" t="s">
        <v>50</v>
      </c>
      <c r="C18" s="1">
        <v>0.5</v>
      </c>
      <c r="D18" s="1"/>
      <c r="E18" s="1" t="s">
        <v>154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52" t="s">
        <v>134</v>
      </c>
      <c r="C19" s="1">
        <v>6</v>
      </c>
      <c r="D19" s="1">
        <v>6</v>
      </c>
      <c r="E19" s="1" t="s">
        <v>29</v>
      </c>
      <c r="F19" s="1" t="s">
        <v>89</v>
      </c>
      <c r="G19" s="1" t="str">
        <f>IF(D19 &gt; 0,"完了","未完了")</f>
        <v>完了</v>
      </c>
      <c r="H19" s="18"/>
    </row>
    <row r="20" spans="2:11" x14ac:dyDescent="0.4">
      <c r="B20" s="12" t="s">
        <v>74</v>
      </c>
      <c r="C20" s="1"/>
      <c r="D20" s="1"/>
      <c r="E20" s="1"/>
      <c r="F20" s="1" t="s">
        <v>89</v>
      </c>
      <c r="G20" s="1" t="s">
        <v>112</v>
      </c>
      <c r="H20" s="53"/>
    </row>
    <row r="21" spans="2:11" x14ac:dyDescent="0.4">
      <c r="B21" s="12" t="s">
        <v>51</v>
      </c>
      <c r="C21" s="1">
        <v>3</v>
      </c>
      <c r="D21" s="1"/>
      <c r="E21" s="1" t="s">
        <v>29</v>
      </c>
      <c r="F21" s="1" t="s">
        <v>89</v>
      </c>
      <c r="G21" s="1" t="str">
        <f t="shared" si="1"/>
        <v>未完了</v>
      </c>
      <c r="H21" s="18"/>
    </row>
    <row r="22" spans="2:11" x14ac:dyDescent="0.4">
      <c r="B22" s="12" t="s">
        <v>52</v>
      </c>
      <c r="C22" s="1">
        <v>2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2" t="s">
        <v>53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12" t="s">
        <v>54</v>
      </c>
      <c r="C24" s="1">
        <v>1</v>
      </c>
      <c r="D24" s="1"/>
      <c r="E24" s="1" t="s">
        <v>29</v>
      </c>
      <c r="F24" s="1" t="s">
        <v>89</v>
      </c>
      <c r="G24" s="1" t="str">
        <f t="shared" si="1"/>
        <v>未完了</v>
      </c>
      <c r="H24" s="18"/>
    </row>
    <row r="25" spans="2:11" x14ac:dyDescent="0.4">
      <c r="B25" s="13" t="s">
        <v>73</v>
      </c>
      <c r="C25" s="1"/>
      <c r="D25" s="1"/>
      <c r="E25" s="1"/>
      <c r="F25" s="1" t="s">
        <v>89</v>
      </c>
      <c r="G25" s="1" t="s">
        <v>112</v>
      </c>
      <c r="H25" s="18"/>
    </row>
    <row r="26" spans="2:11" x14ac:dyDescent="0.4">
      <c r="B26" s="13" t="s">
        <v>53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3" t="s">
        <v>55</v>
      </c>
      <c r="C27" s="1">
        <v>1</v>
      </c>
      <c r="D27" s="1"/>
      <c r="E27" s="1" t="s">
        <v>29</v>
      </c>
      <c r="F27" s="1" t="s">
        <v>89</v>
      </c>
      <c r="G27" s="1" t="str">
        <f t="shared" si="1"/>
        <v>未完了</v>
      </c>
      <c r="H27" s="18"/>
    </row>
    <row r="28" spans="2:11" x14ac:dyDescent="0.4">
      <c r="B28" s="48" t="s">
        <v>56</v>
      </c>
      <c r="C28" s="1"/>
      <c r="D28" s="1"/>
      <c r="E28" s="1"/>
      <c r="F28" s="1" t="s">
        <v>89</v>
      </c>
      <c r="G28" s="1" t="s">
        <v>112</v>
      </c>
      <c r="H28" s="18"/>
    </row>
    <row r="29" spans="2:11" x14ac:dyDescent="0.4">
      <c r="B29" s="48" t="s">
        <v>53</v>
      </c>
      <c r="C29" s="1">
        <v>1</v>
      </c>
      <c r="D29" s="1"/>
      <c r="E29" s="1" t="s">
        <v>29</v>
      </c>
      <c r="F29" s="1" t="s">
        <v>89</v>
      </c>
      <c r="G29" s="1" t="str">
        <f t="shared" si="1"/>
        <v>未完了</v>
      </c>
      <c r="H29" s="18"/>
    </row>
    <row r="30" spans="2:11" x14ac:dyDescent="0.4">
      <c r="B30" s="48" t="s">
        <v>57</v>
      </c>
      <c r="C30" s="1">
        <v>1</v>
      </c>
      <c r="D30" s="1"/>
      <c r="E30" s="1" t="s">
        <v>29</v>
      </c>
      <c r="F30" s="1" t="s">
        <v>89</v>
      </c>
      <c r="G30" s="1" t="str">
        <f t="shared" si="1"/>
        <v>未完了</v>
      </c>
      <c r="H30" s="18"/>
    </row>
    <row r="31" spans="2:11" x14ac:dyDescent="0.4">
      <c r="B31" s="17" t="s">
        <v>59</v>
      </c>
      <c r="C31" s="1"/>
      <c r="D31" s="1"/>
      <c r="E31" s="1"/>
      <c r="F31" s="1" t="s">
        <v>26</v>
      </c>
      <c r="G31" s="1" t="s">
        <v>112</v>
      </c>
      <c r="H31" s="18" t="s">
        <v>58</v>
      </c>
    </row>
    <row r="32" spans="2:11" x14ac:dyDescent="0.4">
      <c r="B32" s="17" t="s">
        <v>93</v>
      </c>
      <c r="C32" s="1">
        <v>1</v>
      </c>
      <c r="D32" s="1"/>
      <c r="E32" s="1" t="s">
        <v>29</v>
      </c>
      <c r="F32" s="1" t="s">
        <v>26</v>
      </c>
      <c r="G32" s="1" t="str">
        <f t="shared" si="1"/>
        <v>未完了</v>
      </c>
      <c r="H32" s="18"/>
    </row>
    <row r="33" spans="2:8" x14ac:dyDescent="0.4">
      <c r="B33" s="17"/>
      <c r="C33" s="1">
        <v>0</v>
      </c>
      <c r="D33" s="1"/>
      <c r="E33" s="1" t="s">
        <v>29</v>
      </c>
      <c r="F33" s="1" t="s">
        <v>26</v>
      </c>
      <c r="G33" s="1" t="str">
        <f t="shared" si="1"/>
        <v>未完了</v>
      </c>
      <c r="H33" s="18"/>
    </row>
    <row r="34" spans="2:8" x14ac:dyDescent="0.4">
      <c r="B34" s="54"/>
      <c r="C34" s="1">
        <v>0</v>
      </c>
      <c r="D34" s="1"/>
      <c r="E34" s="1" t="s">
        <v>29</v>
      </c>
      <c r="F34" s="1" t="s">
        <v>26</v>
      </c>
      <c r="G34" s="1" t="str">
        <f t="shared" si="1"/>
        <v>未完了</v>
      </c>
      <c r="H34" s="18"/>
    </row>
    <row r="35" spans="2:8" x14ac:dyDescent="0.4">
      <c r="B35" s="17"/>
      <c r="C35" s="1">
        <v>0</v>
      </c>
      <c r="D35" s="1"/>
      <c r="E35" s="1" t="s">
        <v>29</v>
      </c>
      <c r="F35" s="1" t="s">
        <v>26</v>
      </c>
      <c r="G35" s="1" t="str">
        <f t="shared" si="1"/>
        <v>未完了</v>
      </c>
      <c r="H35" s="18"/>
    </row>
    <row r="36" spans="2:8" x14ac:dyDescent="0.4">
      <c r="B36" s="54" t="s">
        <v>135</v>
      </c>
      <c r="C36" s="1">
        <v>4</v>
      </c>
      <c r="D36" s="1">
        <v>4</v>
      </c>
      <c r="E36" s="1" t="s">
        <v>29</v>
      </c>
      <c r="F36" s="1" t="s">
        <v>89</v>
      </c>
      <c r="G36" s="1" t="str">
        <f>IF(D36 &gt; 0,"完了","未完了")</f>
        <v>完了</v>
      </c>
      <c r="H36" s="18"/>
    </row>
    <row r="37" spans="2:8" x14ac:dyDescent="0.4">
      <c r="B37" s="55" t="s">
        <v>30</v>
      </c>
      <c r="C37" s="1"/>
      <c r="D37" s="1"/>
      <c r="E37" s="1"/>
      <c r="F37" s="1" t="s">
        <v>17</v>
      </c>
      <c r="G37" s="1" t="s">
        <v>112</v>
      </c>
      <c r="H37" s="18"/>
    </row>
    <row r="38" spans="2:8" x14ac:dyDescent="0.4">
      <c r="B38" s="55" t="s">
        <v>67</v>
      </c>
      <c r="C38" s="1">
        <v>5</v>
      </c>
      <c r="D38" s="1">
        <v>20</v>
      </c>
      <c r="E38" s="1" t="s">
        <v>11</v>
      </c>
      <c r="F38" s="1" t="s">
        <v>17</v>
      </c>
      <c r="G38" s="1" t="str">
        <f t="shared" si="1"/>
        <v>完了</v>
      </c>
      <c r="H38" s="18"/>
    </row>
    <row r="39" spans="2:8" x14ac:dyDescent="0.4">
      <c r="B39" s="55" t="s">
        <v>31</v>
      </c>
      <c r="C39" s="1">
        <v>2</v>
      </c>
      <c r="D39" s="1"/>
      <c r="E39" s="1" t="s">
        <v>11</v>
      </c>
      <c r="F39" s="1" t="s">
        <v>17</v>
      </c>
      <c r="G39" s="1" t="str">
        <f t="shared" si="1"/>
        <v>未完了</v>
      </c>
      <c r="H39" s="18"/>
    </row>
    <row r="40" spans="2:8" x14ac:dyDescent="0.4">
      <c r="B40" s="55" t="s">
        <v>32</v>
      </c>
      <c r="C40" s="1">
        <v>7</v>
      </c>
      <c r="D40" s="1"/>
      <c r="E40" s="1" t="s">
        <v>11</v>
      </c>
      <c r="F40" s="1" t="s">
        <v>17</v>
      </c>
      <c r="G40" s="1" t="str">
        <f t="shared" si="1"/>
        <v>未完了</v>
      </c>
      <c r="H40" s="18"/>
    </row>
    <row r="41" spans="2:8" x14ac:dyDescent="0.4">
      <c r="B41" s="55" t="s">
        <v>33</v>
      </c>
      <c r="C41" s="1">
        <v>3</v>
      </c>
      <c r="D41" s="1"/>
      <c r="E41" s="1" t="s">
        <v>11</v>
      </c>
      <c r="F41" s="1" t="s">
        <v>17</v>
      </c>
      <c r="G41" s="1" t="str">
        <f t="shared" si="1"/>
        <v>未完了</v>
      </c>
      <c r="H41" s="18"/>
    </row>
    <row r="42" spans="2:8" x14ac:dyDescent="0.4">
      <c r="B42" s="14" t="s">
        <v>34</v>
      </c>
      <c r="C42" s="1"/>
      <c r="D42" s="1"/>
      <c r="E42" s="1"/>
      <c r="F42" s="1" t="s">
        <v>26</v>
      </c>
      <c r="G42" s="1" t="s">
        <v>112</v>
      </c>
      <c r="H42" s="18"/>
    </row>
    <row r="43" spans="2:8" x14ac:dyDescent="0.4">
      <c r="B43" s="14" t="s">
        <v>75</v>
      </c>
      <c r="C43" s="1">
        <v>1</v>
      </c>
      <c r="D43" s="1"/>
      <c r="E43" s="1" t="s">
        <v>29</v>
      </c>
      <c r="F43" s="1" t="s">
        <v>26</v>
      </c>
      <c r="G43" s="1" t="str">
        <f t="shared" si="1"/>
        <v>未完了</v>
      </c>
      <c r="H43" s="18"/>
    </row>
    <row r="44" spans="2:8" x14ac:dyDescent="0.4">
      <c r="B44" s="14" t="s">
        <v>76</v>
      </c>
      <c r="C44" s="1">
        <v>1</v>
      </c>
      <c r="D44" s="1"/>
      <c r="E44" s="1" t="s">
        <v>29</v>
      </c>
      <c r="F44" s="1" t="s">
        <v>26</v>
      </c>
      <c r="G44" s="1" t="str">
        <f t="shared" si="1"/>
        <v>未完了</v>
      </c>
      <c r="H44" s="18"/>
    </row>
    <row r="45" spans="2:8" x14ac:dyDescent="0.4">
      <c r="B45" s="14" t="s">
        <v>60</v>
      </c>
      <c r="C45" s="1">
        <v>1</v>
      </c>
      <c r="D45" s="1"/>
      <c r="E45" s="1" t="s">
        <v>29</v>
      </c>
      <c r="F45" s="1" t="s">
        <v>26</v>
      </c>
      <c r="G45" s="1" t="str">
        <f t="shared" si="1"/>
        <v>未完了</v>
      </c>
      <c r="H45" s="18"/>
    </row>
    <row r="46" spans="2:8" x14ac:dyDescent="0.4">
      <c r="B46" s="14" t="s">
        <v>61</v>
      </c>
      <c r="C46" s="1">
        <v>2</v>
      </c>
      <c r="D46" s="1"/>
      <c r="E46" s="1" t="s">
        <v>107</v>
      </c>
      <c r="F46" s="1" t="s">
        <v>26</v>
      </c>
      <c r="G46" s="1" t="str">
        <f t="shared" si="1"/>
        <v>未完了</v>
      </c>
      <c r="H46" s="18" t="s">
        <v>108</v>
      </c>
    </row>
    <row r="47" spans="2:8" x14ac:dyDescent="0.4">
      <c r="B47" s="35" t="s">
        <v>62</v>
      </c>
      <c r="C47" s="1">
        <v>2</v>
      </c>
      <c r="D47" s="1"/>
      <c r="E47" s="1" t="s">
        <v>107</v>
      </c>
      <c r="F47" s="1" t="s">
        <v>26</v>
      </c>
      <c r="G47" s="1" t="str">
        <f t="shared" si="1"/>
        <v>未完了</v>
      </c>
      <c r="H47" s="18" t="s">
        <v>108</v>
      </c>
    </row>
    <row r="48" spans="2:8" x14ac:dyDescent="0.4">
      <c r="B48" s="35" t="s">
        <v>155</v>
      </c>
      <c r="C48" s="1">
        <v>5</v>
      </c>
      <c r="D48" s="1">
        <v>5</v>
      </c>
      <c r="E48" s="1" t="s">
        <v>29</v>
      </c>
      <c r="F48" s="1" t="s">
        <v>89</v>
      </c>
      <c r="G48" s="1" t="s">
        <v>151</v>
      </c>
      <c r="H48" s="18"/>
    </row>
    <row r="49" spans="2:8" x14ac:dyDescent="0.4">
      <c r="B49" s="15" t="s">
        <v>35</v>
      </c>
      <c r="C49" s="1"/>
      <c r="D49" s="1"/>
      <c r="E49" s="1"/>
      <c r="F49" s="1" t="s">
        <v>90</v>
      </c>
      <c r="G49" s="1" t="s">
        <v>112</v>
      </c>
      <c r="H49" s="18"/>
    </row>
    <row r="50" spans="2:8" x14ac:dyDescent="0.4">
      <c r="B50" s="15" t="s">
        <v>32</v>
      </c>
      <c r="C50" s="1">
        <v>0.5</v>
      </c>
      <c r="D50" s="1"/>
      <c r="E50" s="1" t="s">
        <v>11</v>
      </c>
      <c r="F50" s="1" t="s">
        <v>17</v>
      </c>
      <c r="G50" s="1" t="str">
        <f t="shared" si="1"/>
        <v>未完了</v>
      </c>
      <c r="H50" s="18"/>
    </row>
    <row r="51" spans="2:8" x14ac:dyDescent="0.4">
      <c r="B51" s="15" t="s">
        <v>36</v>
      </c>
      <c r="C51" s="1">
        <v>0.5</v>
      </c>
      <c r="D51" s="1"/>
      <c r="E51" s="1" t="s">
        <v>11</v>
      </c>
      <c r="F51" s="1" t="s">
        <v>17</v>
      </c>
      <c r="G51" s="1" t="str">
        <f t="shared" si="1"/>
        <v>未完了</v>
      </c>
      <c r="H51" s="18"/>
    </row>
    <row r="52" spans="2:8" x14ac:dyDescent="0.4">
      <c r="B52" s="15" t="s">
        <v>63</v>
      </c>
      <c r="C52" s="1">
        <v>0.5</v>
      </c>
      <c r="D52" s="1"/>
      <c r="E52" s="1" t="s">
        <v>11</v>
      </c>
      <c r="F52" s="1" t="s">
        <v>17</v>
      </c>
      <c r="G52" s="1" t="str">
        <f t="shared" si="1"/>
        <v>未完了</v>
      </c>
      <c r="H52" s="18"/>
    </row>
    <row r="53" spans="2:8" x14ac:dyDescent="0.4">
      <c r="B53" s="16" t="s">
        <v>37</v>
      </c>
      <c r="C53" s="1"/>
      <c r="D53" s="1"/>
      <c r="E53" s="1"/>
      <c r="F53" s="1" t="s">
        <v>90</v>
      </c>
      <c r="G53" s="1" t="s">
        <v>112</v>
      </c>
      <c r="H53" s="18"/>
    </row>
    <row r="54" spans="2:8" x14ac:dyDescent="0.4">
      <c r="B54" s="16" t="s">
        <v>98</v>
      </c>
      <c r="C54" s="1">
        <v>0.5</v>
      </c>
      <c r="D54" s="1"/>
      <c r="E54" s="1" t="s">
        <v>29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6" t="s">
        <v>99</v>
      </c>
      <c r="C55" s="1">
        <v>0.5</v>
      </c>
      <c r="D55" s="1"/>
      <c r="E55" s="1" t="s">
        <v>106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16" t="s">
        <v>100</v>
      </c>
      <c r="C56" s="1">
        <v>0.5</v>
      </c>
      <c r="D56" s="1"/>
      <c r="E56" s="1" t="s">
        <v>107</v>
      </c>
      <c r="F56" s="1" t="s">
        <v>90</v>
      </c>
      <c r="G56" s="1" t="str">
        <f t="shared" si="1"/>
        <v>未完了</v>
      </c>
      <c r="H56" s="18"/>
    </row>
    <row r="57" spans="2:8" x14ac:dyDescent="0.4">
      <c r="B57" s="16" t="s">
        <v>101</v>
      </c>
      <c r="C57" s="1">
        <v>0.5</v>
      </c>
      <c r="D57" s="1"/>
      <c r="E57" s="1" t="s">
        <v>29</v>
      </c>
      <c r="F57" s="1" t="s">
        <v>90</v>
      </c>
      <c r="G57" s="1" t="str">
        <f t="shared" si="1"/>
        <v>未完了</v>
      </c>
      <c r="H57" s="18"/>
    </row>
    <row r="58" spans="2:8" x14ac:dyDescent="0.4">
      <c r="B58" s="17" t="s">
        <v>38</v>
      </c>
      <c r="C58" s="1"/>
      <c r="D58" s="1"/>
      <c r="E58" s="1"/>
      <c r="F58" s="1" t="s">
        <v>90</v>
      </c>
      <c r="G58" s="1" t="s">
        <v>112</v>
      </c>
      <c r="H58" s="18"/>
    </row>
    <row r="59" spans="2:8" x14ac:dyDescent="0.4">
      <c r="B59" s="17" t="s">
        <v>72</v>
      </c>
      <c r="C59" s="1">
        <v>3</v>
      </c>
      <c r="D59" s="1"/>
      <c r="E59" s="1" t="s">
        <v>29</v>
      </c>
      <c r="F59" s="1" t="s">
        <v>90</v>
      </c>
      <c r="G59" s="1" t="str">
        <f t="shared" si="1"/>
        <v>未完了</v>
      </c>
      <c r="H59" s="18"/>
    </row>
    <row r="60" spans="2:8" x14ac:dyDescent="0.4">
      <c r="B60" s="17" t="s">
        <v>102</v>
      </c>
      <c r="C60" s="1">
        <v>2</v>
      </c>
      <c r="D60" s="1"/>
      <c r="E60" s="1" t="s">
        <v>109</v>
      </c>
      <c r="F60" s="1" t="s">
        <v>90</v>
      </c>
      <c r="G60" s="1" t="str">
        <f t="shared" si="1"/>
        <v>未完了</v>
      </c>
      <c r="H60" s="18"/>
    </row>
    <row r="61" spans="2:8" x14ac:dyDescent="0.4">
      <c r="B61" s="17" t="s">
        <v>103</v>
      </c>
      <c r="C61" s="1">
        <v>3</v>
      </c>
      <c r="D61" s="1"/>
      <c r="E61" s="1" t="s">
        <v>107</v>
      </c>
      <c r="F61" s="1" t="s">
        <v>90</v>
      </c>
      <c r="G61" s="1" t="str">
        <f t="shared" si="1"/>
        <v>未完了</v>
      </c>
      <c r="H61" s="18"/>
    </row>
    <row r="62" spans="2:8" x14ac:dyDescent="0.4">
      <c r="B62" s="56" t="s">
        <v>39</v>
      </c>
      <c r="C62" s="1"/>
      <c r="D62" s="1"/>
      <c r="E62" s="1"/>
      <c r="F62" s="1" t="s">
        <v>16</v>
      </c>
      <c r="G62" s="1" t="s">
        <v>112</v>
      </c>
      <c r="H62" s="18"/>
    </row>
    <row r="63" spans="2:8" x14ac:dyDescent="0.4">
      <c r="B63" s="56" t="s">
        <v>64</v>
      </c>
      <c r="C63" s="1">
        <v>6</v>
      </c>
      <c r="D63" s="1"/>
      <c r="E63" s="1" t="s">
        <v>29</v>
      </c>
      <c r="F63" s="1" t="s">
        <v>16</v>
      </c>
      <c r="G63" s="1" t="str">
        <f t="shared" ref="G63:G101" si="2">IF(D63 &gt; 0,"完了","未完了")</f>
        <v>未完了</v>
      </c>
      <c r="H63" s="18" t="s">
        <v>125</v>
      </c>
    </row>
    <row r="64" spans="2:8" x14ac:dyDescent="0.4">
      <c r="B64" s="56" t="s">
        <v>65</v>
      </c>
      <c r="C64" s="1">
        <v>6</v>
      </c>
      <c r="D64" s="1"/>
      <c r="E64" s="1" t="s">
        <v>29</v>
      </c>
      <c r="F64" s="1" t="s">
        <v>16</v>
      </c>
      <c r="G64" s="1" t="str">
        <f t="shared" si="2"/>
        <v>未完了</v>
      </c>
      <c r="H64" s="18"/>
    </row>
    <row r="65" spans="2:8" x14ac:dyDescent="0.4">
      <c r="B65" s="56" t="s">
        <v>66</v>
      </c>
      <c r="C65" s="1">
        <v>8</v>
      </c>
      <c r="D65" s="1"/>
      <c r="E65" s="1" t="s">
        <v>29</v>
      </c>
      <c r="F65" s="1" t="s">
        <v>16</v>
      </c>
      <c r="G65" s="1" t="str">
        <f t="shared" si="2"/>
        <v>未完了</v>
      </c>
      <c r="H65" s="18"/>
    </row>
    <row r="66" spans="2:8" x14ac:dyDescent="0.4">
      <c r="B66" s="56" t="s">
        <v>94</v>
      </c>
      <c r="C66" s="1">
        <v>5</v>
      </c>
      <c r="D66" s="1"/>
      <c r="E66" s="1" t="s">
        <v>107</v>
      </c>
      <c r="F66" s="1" t="s">
        <v>16</v>
      </c>
      <c r="G66" s="1" t="str">
        <f t="shared" si="2"/>
        <v>未完了</v>
      </c>
      <c r="H66" s="18"/>
    </row>
    <row r="67" spans="2:8" x14ac:dyDescent="0.4">
      <c r="B67" s="56" t="s">
        <v>95</v>
      </c>
      <c r="C67" s="1">
        <v>5</v>
      </c>
      <c r="D67" s="1"/>
      <c r="E67" s="1" t="s">
        <v>107</v>
      </c>
      <c r="F67" s="1" t="s">
        <v>16</v>
      </c>
      <c r="G67" s="1" t="str">
        <f t="shared" si="2"/>
        <v>未完了</v>
      </c>
      <c r="H67" s="18"/>
    </row>
    <row r="68" spans="2:8" x14ac:dyDescent="0.4">
      <c r="B68" s="57" t="s">
        <v>40</v>
      </c>
      <c r="C68" s="1"/>
      <c r="D68" s="1"/>
      <c r="E68" s="1"/>
      <c r="F68" s="1" t="s">
        <v>26</v>
      </c>
      <c r="G68" s="1" t="str">
        <f t="shared" si="2"/>
        <v>未完了</v>
      </c>
      <c r="H68" s="18"/>
    </row>
    <row r="69" spans="2:8" x14ac:dyDescent="0.4">
      <c r="B69" s="58" t="s">
        <v>130</v>
      </c>
      <c r="C69" s="1">
        <v>7</v>
      </c>
      <c r="D69" s="1">
        <v>8</v>
      </c>
      <c r="E69" s="1" t="s">
        <v>29</v>
      </c>
      <c r="F69" s="1" t="s">
        <v>26</v>
      </c>
      <c r="G69" s="1" t="str">
        <f t="shared" si="2"/>
        <v>完了</v>
      </c>
      <c r="H69" s="18"/>
    </row>
    <row r="70" spans="2:8" x14ac:dyDescent="0.4">
      <c r="B70" s="58" t="s">
        <v>136</v>
      </c>
      <c r="C70" s="1">
        <v>3</v>
      </c>
      <c r="D70" s="1">
        <v>3</v>
      </c>
      <c r="E70" s="1" t="s">
        <v>29</v>
      </c>
      <c r="F70" s="1" t="s">
        <v>89</v>
      </c>
      <c r="G70" s="1" t="str">
        <f t="shared" ref="G70:G75" si="3">IF(D70 &gt; 0,"完了","未完了")</f>
        <v>完了</v>
      </c>
      <c r="H70" s="18"/>
    </row>
    <row r="71" spans="2:8" x14ac:dyDescent="0.4">
      <c r="B71" s="58" t="s">
        <v>137</v>
      </c>
      <c r="C71" s="1">
        <v>2</v>
      </c>
      <c r="D71" s="1">
        <v>2</v>
      </c>
      <c r="E71" s="1" t="s">
        <v>29</v>
      </c>
      <c r="F71" s="1" t="s">
        <v>89</v>
      </c>
      <c r="G71" s="1" t="str">
        <f t="shared" si="3"/>
        <v>完了</v>
      </c>
      <c r="H71" s="18"/>
    </row>
    <row r="72" spans="2:8" x14ac:dyDescent="0.4">
      <c r="B72" s="58" t="s">
        <v>138</v>
      </c>
      <c r="C72" s="1">
        <v>0</v>
      </c>
      <c r="D72" s="1"/>
      <c r="E72" s="1" t="s">
        <v>107</v>
      </c>
      <c r="F72" s="1" t="s">
        <v>89</v>
      </c>
      <c r="G72" s="1" t="str">
        <f t="shared" si="3"/>
        <v>未完了</v>
      </c>
      <c r="H72" s="18"/>
    </row>
    <row r="73" spans="2:8" x14ac:dyDescent="0.4">
      <c r="B73" s="58" t="s">
        <v>139</v>
      </c>
      <c r="C73" s="1">
        <v>5</v>
      </c>
      <c r="D73" s="1"/>
      <c r="E73" s="1" t="s">
        <v>29</v>
      </c>
      <c r="F73" s="1" t="s">
        <v>26</v>
      </c>
      <c r="G73" s="1" t="str">
        <f t="shared" si="3"/>
        <v>未完了</v>
      </c>
      <c r="H73" s="18"/>
    </row>
    <row r="74" spans="2:8" x14ac:dyDescent="0.4">
      <c r="B74" s="58" t="s">
        <v>140</v>
      </c>
      <c r="C74" s="1">
        <v>2</v>
      </c>
      <c r="D74" s="1"/>
      <c r="E74" s="1" t="s">
        <v>109</v>
      </c>
      <c r="F74" s="1" t="s">
        <v>90</v>
      </c>
      <c r="G74" s="1" t="str">
        <f t="shared" si="3"/>
        <v>未完了</v>
      </c>
      <c r="H74" s="18"/>
    </row>
    <row r="75" spans="2:8" x14ac:dyDescent="0.4">
      <c r="B75" s="58" t="s">
        <v>156</v>
      </c>
      <c r="C75" s="1">
        <v>3</v>
      </c>
      <c r="D75" s="1"/>
      <c r="E75" s="1" t="s">
        <v>29</v>
      </c>
      <c r="F75" s="1" t="s">
        <v>89</v>
      </c>
      <c r="G75" s="1" t="str">
        <f t="shared" si="3"/>
        <v>未完了</v>
      </c>
      <c r="H75" s="18"/>
    </row>
    <row r="76" spans="2:8" x14ac:dyDescent="0.4">
      <c r="B76" s="49" t="s">
        <v>68</v>
      </c>
      <c r="C76" s="1"/>
      <c r="D76" s="1"/>
      <c r="E76" s="1"/>
      <c r="F76" s="1" t="s">
        <v>90</v>
      </c>
      <c r="G76" s="1" t="s">
        <v>112</v>
      </c>
      <c r="H76" s="18"/>
    </row>
    <row r="77" spans="2:8" x14ac:dyDescent="0.4">
      <c r="B77" s="49" t="s">
        <v>111</v>
      </c>
      <c r="C77" s="1">
        <v>4</v>
      </c>
      <c r="D77" s="1">
        <v>4</v>
      </c>
      <c r="E77" s="1" t="s">
        <v>29</v>
      </c>
      <c r="F77" s="1" t="s">
        <v>90</v>
      </c>
      <c r="G77" s="1" t="str">
        <f t="shared" si="2"/>
        <v>完了</v>
      </c>
      <c r="H77" s="18"/>
    </row>
    <row r="78" spans="2:8" x14ac:dyDescent="0.4">
      <c r="B78" s="49" t="s">
        <v>69</v>
      </c>
      <c r="C78" s="1">
        <v>1</v>
      </c>
      <c r="D78" s="1"/>
      <c r="E78" s="1" t="s">
        <v>106</v>
      </c>
      <c r="F78" s="1" t="s">
        <v>90</v>
      </c>
      <c r="G78" s="1" t="str">
        <f t="shared" si="2"/>
        <v>未完了</v>
      </c>
      <c r="H78" s="18"/>
    </row>
    <row r="79" spans="2:8" x14ac:dyDescent="0.4">
      <c r="B79" s="49" t="s">
        <v>70</v>
      </c>
      <c r="C79" s="1">
        <v>1</v>
      </c>
      <c r="D79" s="1"/>
      <c r="E79" s="1" t="s">
        <v>106</v>
      </c>
      <c r="F79" s="1" t="s">
        <v>90</v>
      </c>
      <c r="G79" s="1" t="str">
        <f t="shared" si="2"/>
        <v>未完了</v>
      </c>
      <c r="H79" s="18"/>
    </row>
    <row r="80" spans="2:8" x14ac:dyDescent="0.4">
      <c r="B80" s="49" t="s">
        <v>117</v>
      </c>
      <c r="C80" s="1">
        <v>1</v>
      </c>
      <c r="D80" s="1"/>
      <c r="E80" s="1" t="s">
        <v>29</v>
      </c>
      <c r="F80" s="1" t="s">
        <v>90</v>
      </c>
      <c r="G80" s="1" t="str">
        <f t="shared" si="2"/>
        <v>未完了</v>
      </c>
      <c r="H80" s="18"/>
    </row>
    <row r="81" spans="2:8" x14ac:dyDescent="0.4">
      <c r="B81" s="49" t="s">
        <v>71</v>
      </c>
      <c r="C81" s="1">
        <v>1</v>
      </c>
      <c r="D81" s="1"/>
      <c r="E81" s="1" t="s">
        <v>29</v>
      </c>
      <c r="F81" s="1" t="s">
        <v>90</v>
      </c>
      <c r="G81" s="1" t="str">
        <f t="shared" si="2"/>
        <v>未完了</v>
      </c>
      <c r="H81" s="18"/>
    </row>
    <row r="82" spans="2:8" x14ac:dyDescent="0.4">
      <c r="B82" s="49" t="s">
        <v>141</v>
      </c>
      <c r="C82" s="1">
        <v>3</v>
      </c>
      <c r="D82" s="1"/>
      <c r="E82" s="1" t="s">
        <v>107</v>
      </c>
      <c r="F82" s="1" t="s">
        <v>90</v>
      </c>
      <c r="G82" s="1" t="str">
        <f>IF(D82 &gt; 0,"完了","未完了")</f>
        <v>未完了</v>
      </c>
      <c r="H82" s="18"/>
    </row>
    <row r="83" spans="2:8" x14ac:dyDescent="0.4">
      <c r="B83" s="49" t="s">
        <v>142</v>
      </c>
      <c r="C83" s="1">
        <v>1</v>
      </c>
      <c r="D83" s="1"/>
      <c r="E83" s="1" t="s">
        <v>107</v>
      </c>
      <c r="F83" s="1" t="s">
        <v>90</v>
      </c>
      <c r="G83" s="1" t="str">
        <f>IF(D83 &gt; 0,"完了","未完了")</f>
        <v>未完了</v>
      </c>
      <c r="H83" s="18"/>
    </row>
    <row r="84" spans="2:8" x14ac:dyDescent="0.4">
      <c r="B84" s="17" t="s">
        <v>41</v>
      </c>
      <c r="C84" s="1"/>
      <c r="D84" s="1"/>
      <c r="E84" s="1"/>
      <c r="F84" s="1" t="s">
        <v>26</v>
      </c>
      <c r="G84" s="1" t="s">
        <v>112</v>
      </c>
      <c r="H84" s="18"/>
    </row>
    <row r="85" spans="2:8" x14ac:dyDescent="0.4">
      <c r="B85" s="17" t="s">
        <v>104</v>
      </c>
      <c r="C85" s="1">
        <v>1.5</v>
      </c>
      <c r="D85" s="1">
        <v>1</v>
      </c>
      <c r="E85" s="1" t="s">
        <v>29</v>
      </c>
      <c r="F85" s="1" t="s">
        <v>26</v>
      </c>
      <c r="G85" s="1" t="str">
        <f t="shared" si="2"/>
        <v>完了</v>
      </c>
      <c r="H85" s="18"/>
    </row>
    <row r="86" spans="2:8" x14ac:dyDescent="0.4">
      <c r="B86" s="34" t="s">
        <v>105</v>
      </c>
      <c r="C86" s="10">
        <v>1.5</v>
      </c>
      <c r="D86" s="10">
        <v>1</v>
      </c>
      <c r="E86" s="10" t="s">
        <v>106</v>
      </c>
      <c r="F86" s="10" t="s">
        <v>26</v>
      </c>
      <c r="G86" s="10" t="str">
        <f t="shared" si="2"/>
        <v>完了</v>
      </c>
      <c r="H86" s="20"/>
    </row>
    <row r="87" spans="2:8" x14ac:dyDescent="0.4">
      <c r="B87" s="54" t="s">
        <v>143</v>
      </c>
      <c r="C87" s="1">
        <v>6</v>
      </c>
      <c r="D87" s="1">
        <v>6</v>
      </c>
      <c r="E87" s="1" t="s">
        <v>29</v>
      </c>
      <c r="F87" s="1" t="s">
        <v>89</v>
      </c>
      <c r="G87" s="1" t="str">
        <f>IF(D87 &gt; 0,"完了","未完了")</f>
        <v>完了</v>
      </c>
      <c r="H87" s="18"/>
    </row>
    <row r="88" spans="2:8" x14ac:dyDescent="0.4">
      <c r="B88" s="54" t="s">
        <v>144</v>
      </c>
      <c r="C88" s="1">
        <v>2</v>
      </c>
      <c r="D88" s="1"/>
      <c r="E88" s="1" t="s">
        <v>107</v>
      </c>
      <c r="F88" s="1" t="s">
        <v>90</v>
      </c>
      <c r="G88" s="1" t="str">
        <f>IF(D88 &gt; 0,"完了","未完了")</f>
        <v>未完了</v>
      </c>
      <c r="H88" s="18"/>
    </row>
    <row r="89" spans="2:8" x14ac:dyDescent="0.4">
      <c r="B89" s="68" t="s">
        <v>113</v>
      </c>
      <c r="C89" s="10"/>
      <c r="D89" s="10"/>
      <c r="E89" s="10"/>
      <c r="F89" s="10" t="s">
        <v>89</v>
      </c>
      <c r="G89" s="1" t="s">
        <v>121</v>
      </c>
      <c r="H89" s="20"/>
    </row>
    <row r="90" spans="2:8" x14ac:dyDescent="0.4">
      <c r="B90" s="69" t="s">
        <v>116</v>
      </c>
      <c r="C90" s="1">
        <v>3</v>
      </c>
      <c r="D90" s="1">
        <v>5</v>
      </c>
      <c r="E90" s="10" t="s">
        <v>29</v>
      </c>
      <c r="F90" s="10" t="s">
        <v>89</v>
      </c>
      <c r="G90" s="10" t="str">
        <f t="shared" si="2"/>
        <v>完了</v>
      </c>
      <c r="H90" s="18"/>
    </row>
    <row r="91" spans="2:8" x14ac:dyDescent="0.4">
      <c r="B91" s="69" t="s">
        <v>114</v>
      </c>
      <c r="C91" s="10">
        <v>1</v>
      </c>
      <c r="D91" s="10">
        <v>1</v>
      </c>
      <c r="E91" s="10" t="s">
        <v>29</v>
      </c>
      <c r="F91" s="10" t="s">
        <v>89</v>
      </c>
      <c r="G91" s="10" t="str">
        <f t="shared" si="2"/>
        <v>完了</v>
      </c>
      <c r="H91" s="20" t="s">
        <v>115</v>
      </c>
    </row>
    <row r="92" spans="2:8" x14ac:dyDescent="0.4">
      <c r="B92" s="69" t="s">
        <v>122</v>
      </c>
      <c r="C92" s="1">
        <v>5</v>
      </c>
      <c r="D92" s="1">
        <v>5</v>
      </c>
      <c r="E92" s="10" t="s">
        <v>29</v>
      </c>
      <c r="F92" s="1" t="s">
        <v>89</v>
      </c>
      <c r="G92" s="10" t="str">
        <f t="shared" si="2"/>
        <v>完了</v>
      </c>
      <c r="H92" s="18"/>
    </row>
    <row r="93" spans="2:8" x14ac:dyDescent="0.4">
      <c r="B93" s="69" t="s">
        <v>126</v>
      </c>
      <c r="C93" s="1">
        <v>1.5</v>
      </c>
      <c r="D93" s="1"/>
      <c r="E93" s="1" t="s">
        <v>29</v>
      </c>
      <c r="F93" s="1" t="s">
        <v>26</v>
      </c>
      <c r="G93" s="10" t="str">
        <f t="shared" si="2"/>
        <v>未完了</v>
      </c>
      <c r="H93" s="18"/>
    </row>
    <row r="94" spans="2:8" x14ac:dyDescent="0.4">
      <c r="B94" s="74" t="s">
        <v>145</v>
      </c>
      <c r="C94" s="1">
        <v>6</v>
      </c>
      <c r="D94" s="1">
        <v>6</v>
      </c>
      <c r="E94" s="1" t="s">
        <v>29</v>
      </c>
      <c r="F94" s="1" t="s">
        <v>89</v>
      </c>
      <c r="G94" s="1" t="str">
        <f>IF(D94 &gt; 0,"完了","未完了")</f>
        <v>完了</v>
      </c>
      <c r="H94" s="18"/>
    </row>
    <row r="95" spans="2:8" x14ac:dyDescent="0.4">
      <c r="B95" s="71" t="s">
        <v>123</v>
      </c>
      <c r="C95" s="1"/>
      <c r="D95" s="1"/>
      <c r="E95" s="1"/>
      <c r="F95" s="1"/>
      <c r="G95" s="10" t="s">
        <v>112</v>
      </c>
      <c r="H95" s="18"/>
    </row>
    <row r="96" spans="2:8" x14ac:dyDescent="0.4">
      <c r="B96" s="71" t="s">
        <v>124</v>
      </c>
      <c r="C96" s="1">
        <v>5</v>
      </c>
      <c r="D96" s="1"/>
      <c r="E96" s="1" t="s">
        <v>29</v>
      </c>
      <c r="F96" s="1" t="s">
        <v>26</v>
      </c>
      <c r="G96" s="10" t="str">
        <f t="shared" si="2"/>
        <v>未完了</v>
      </c>
      <c r="H96" s="18"/>
    </row>
    <row r="97" spans="2:8" x14ac:dyDescent="0.4">
      <c r="B97" s="71" t="s">
        <v>146</v>
      </c>
      <c r="C97" s="1">
        <v>5</v>
      </c>
      <c r="D97" s="1">
        <v>5</v>
      </c>
      <c r="E97" s="1" t="s">
        <v>29</v>
      </c>
      <c r="F97" s="1" t="s">
        <v>89</v>
      </c>
      <c r="G97" s="1" t="str">
        <f>IF(D97 &gt; 0,"完了","未完了")</f>
        <v>完了</v>
      </c>
      <c r="H97" s="18"/>
    </row>
    <row r="98" spans="2:8" x14ac:dyDescent="0.4">
      <c r="B98" s="71" t="s">
        <v>153</v>
      </c>
      <c r="C98" s="1">
        <v>1</v>
      </c>
      <c r="D98" s="1"/>
      <c r="E98" s="1" t="s">
        <v>106</v>
      </c>
      <c r="F98" s="1" t="s">
        <v>26</v>
      </c>
      <c r="G98" s="1" t="str">
        <f>IF(D98 &gt; 0,"完了","未完了")</f>
        <v>未完了</v>
      </c>
      <c r="H98" s="18"/>
    </row>
    <row r="99" spans="2:8" x14ac:dyDescent="0.4">
      <c r="B99" s="72" t="s">
        <v>127</v>
      </c>
      <c r="C99" s="10"/>
      <c r="D99" s="10"/>
      <c r="E99" s="1"/>
      <c r="F99" s="10"/>
      <c r="G99" s="10" t="s">
        <v>112</v>
      </c>
      <c r="H99" s="20"/>
    </row>
    <row r="100" spans="2:8" x14ac:dyDescent="0.4">
      <c r="B100" s="72" t="s">
        <v>128</v>
      </c>
      <c r="C100" s="10">
        <v>3</v>
      </c>
      <c r="D100" s="10"/>
      <c r="E100" s="1" t="s">
        <v>29</v>
      </c>
      <c r="F100" s="10" t="s">
        <v>26</v>
      </c>
      <c r="G100" s="10" t="str">
        <f t="shared" si="2"/>
        <v>未完了</v>
      </c>
      <c r="H100" s="20"/>
    </row>
    <row r="101" spans="2:8" x14ac:dyDescent="0.4">
      <c r="B101" s="72" t="s">
        <v>129</v>
      </c>
      <c r="C101" s="10">
        <v>2</v>
      </c>
      <c r="D101" s="10"/>
      <c r="E101" s="1" t="s">
        <v>29</v>
      </c>
      <c r="F101" s="10" t="s">
        <v>26</v>
      </c>
      <c r="G101" s="10" t="str">
        <f t="shared" si="2"/>
        <v>未完了</v>
      </c>
      <c r="H101" s="20"/>
    </row>
    <row r="102" spans="2:8" x14ac:dyDescent="0.4">
      <c r="B102" s="75" t="s">
        <v>147</v>
      </c>
      <c r="C102" s="1"/>
      <c r="D102" s="1"/>
      <c r="E102" s="1"/>
      <c r="F102" s="1" t="s">
        <v>89</v>
      </c>
      <c r="G102" s="1" t="s">
        <v>10</v>
      </c>
      <c r="H102" s="18"/>
    </row>
    <row r="103" spans="2:8" x14ac:dyDescent="0.4">
      <c r="B103" s="75" t="s">
        <v>148</v>
      </c>
      <c r="C103" s="1">
        <v>2</v>
      </c>
      <c r="D103" s="1">
        <v>2</v>
      </c>
      <c r="E103" s="1" t="s">
        <v>29</v>
      </c>
      <c r="F103" s="1" t="s">
        <v>89</v>
      </c>
      <c r="G103" s="1" t="str">
        <f>IF(D103 &gt; 0,"完了","未完了")</f>
        <v>完了</v>
      </c>
      <c r="H103" s="18"/>
    </row>
    <row r="104" spans="2:8" x14ac:dyDescent="0.4">
      <c r="B104" s="75" t="s">
        <v>149</v>
      </c>
      <c r="C104" s="1">
        <v>0.5</v>
      </c>
      <c r="D104" s="1"/>
      <c r="E104" s="1" t="s">
        <v>109</v>
      </c>
      <c r="F104" s="1" t="s">
        <v>26</v>
      </c>
      <c r="G104" s="1" t="str">
        <f>IF(D104 &gt; 0,"完了","未完了")</f>
        <v>未完了</v>
      </c>
      <c r="H104" s="18"/>
    </row>
    <row r="105" spans="2:8" x14ac:dyDescent="0.4">
      <c r="B105" s="76" t="s">
        <v>150</v>
      </c>
      <c r="C105" s="1"/>
      <c r="D105" s="1"/>
      <c r="E105" s="1"/>
      <c r="F105" s="1" t="s">
        <v>89</v>
      </c>
      <c r="G105" s="1" t="s">
        <v>151</v>
      </c>
      <c r="H105" s="18"/>
    </row>
    <row r="106" spans="2:8" x14ac:dyDescent="0.4">
      <c r="B106" s="76" t="s">
        <v>152</v>
      </c>
      <c r="C106" s="1">
        <v>5</v>
      </c>
      <c r="D106" s="1">
        <v>5</v>
      </c>
      <c r="E106" s="1" t="s">
        <v>29</v>
      </c>
      <c r="F106" s="1" t="s">
        <v>89</v>
      </c>
      <c r="G106" s="1" t="str">
        <f>IF(D106 &gt; 0,"完了","未完了")</f>
        <v>完了</v>
      </c>
      <c r="H106" s="18"/>
    </row>
  </sheetData>
  <phoneticPr fontId="1"/>
  <dataValidations count="2">
    <dataValidation type="list" allowBlank="1" showInputMessage="1" showErrorMessage="1" sqref="E90:E106 E4:E88" xr:uid="{8019EF25-1BBC-4ED5-A76E-ECC3E7C9CBEF}">
      <formula1>"S,A,B,C"</formula1>
    </dataValidation>
    <dataValidation type="list" allowBlank="1" showInputMessage="1" showErrorMessage="1" sqref="F3:F10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I18" sqref="I18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110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5">
        <f>G16+1</f>
        <v>25</v>
      </c>
      <c r="B17" s="65">
        <f t="shared" si="3"/>
        <v>26</v>
      </c>
      <c r="C17" s="65">
        <f t="shared" si="3"/>
        <v>27</v>
      </c>
      <c r="D17" s="65">
        <f t="shared" si="3"/>
        <v>28</v>
      </c>
      <c r="E17" s="65">
        <f t="shared" si="3"/>
        <v>29</v>
      </c>
      <c r="F17" s="65">
        <f t="shared" si="2"/>
        <v>30</v>
      </c>
      <c r="G17" s="65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2026-10-26T06:29:49Z</dcterms:modified>
  <cp:category/>
  <cp:contentStatus/>
</cp:coreProperties>
</file>