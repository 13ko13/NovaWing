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C738A165-57DA-482D-9BD2-A5819DEDDC1C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<sst xmlns="http://schemas.openxmlformats.org/spreadsheetml/2006/main" count="359" uniqueCount="119">
  <si>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</si>
  <si>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</si>
  <si>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</si>
  <si>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</si>
  <si>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</si>
  <si>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</si>
  <si>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</si>
  <si>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</si>
  <si>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</si>
  <si>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</si>
  <si>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</si>
  <si>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</si>
  <si>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</si>
  <si>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</si>
  <si>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</si>
  <si>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</si>
  <si>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</si>
  <si>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</si>
  <si>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</si>
  <si>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</si>
  <si>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</si>
  <si>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</si>
  <si>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</si>
  <si>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</si>
  <si>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</si>
  <si>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</si>
  <si>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</si>
  <si>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</si>
  <si>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</si>
  <si>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</si>
  <si>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</si>
  <si>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</si>
  <si>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</si>
  <si>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</si>
  <si>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</si>
  <si>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</si>
  <si>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</si>
  <si>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</si>
  <si>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</si>
  <si>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</si>
  <si>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</si>
  <si>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</si>
  <si>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</si>
  <si>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</si>
  <si>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</si>
  <si>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</si>
  <si>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</si>
  <si>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</si>
  <si>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</si>
  <si>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</si>
  <si>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</si>
  <si>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</si>
  <si>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</si>
  <si>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</si>
  <si>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</si>
  <si>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</si>
  <si>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ー回転</t>
    <rPh sb="2" eb="4">
      <t>カイテン</t>
    </rPh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</si>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</sst>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90" totalsRowShown="0" headerRowDxfId="9" headerRowBorderDxfId="8" tableBorderDxfId="7">
  <autoFilter ref="B2:H90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90"/>
  <sheetViews>
    <sheetView tabSelected="1" zoomScaleNormal="85" workbookViewId="0">
      <selection activeCell="H10" sqref="H10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SUMIF(F$4:F$90,J8,C$4:C$90)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SUMIF(F$4:F$90,J9,C$4:C$90)</f>
        <v>35</v>
      </c>
      <c r="L9" s="3">
        <f>K9-SUMIFS(テーブル1[見積コスト],テーブル1[バージョン],J9,テーブル1[ステータス],"完了")</f>
        <v>30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SUMIF(F$4:F$90,J10,C$4:C$90)</f>
        <v>38.5</v>
      </c>
      <c r="L10" s="3">
        <f>K10-SUMIFS(テーブル1[見積コスト],テーブル1[バージョン],J10,テーブル1[ステータス],"完了")</f>
        <v>38.5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SUMIF(F$4:F$90,J11,C$4:C$90)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147</v>
      </c>
      <c r="L12" s="36">
        <f>SUM(L8:L11)</f>
        <v>71.5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1.75</v>
      </c>
      <c r="M15" s="57">
        <f ca="1">(K12-L12) / _xlfn.DAYS(TODAY(),J15)</f>
        <v>1.8414634146341464</v>
      </c>
    </row>
    <row r="16" spans="1:13" x14ac:dyDescent="0.4">
      <c r="B16" s="52" t="s">
        <v>43</v>
      </c>
      <c r="C16" s="1">
        <v>5</v>
      </c>
      <c r="D16" s="1"/>
      <c r="E16" s="1" t="s">
        <v>12</v>
      </c>
      <c r="F16" s="1" t="s">
        <v>44</v>
      </c>
      <c r="G16" s="1" t="s">
        <v>29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/>
      <c r="E17" s="4" t="s">
        <v>12</v>
      </c>
      <c r="F17" s="4" t="s">
        <v>44</v>
      </c>
      <c r="G17" s="4" t="s">
        <v>29</v>
      </c>
      <c r="H17" s="5"/>
      <c r="J17" s="56">
        <f>DATE(2026,9,3)</f>
        <v>46268</v>
      </c>
      <c r="K17" s="57">
        <f ca="1">_xlfn.DAYS(J17,TODAY())</f>
        <v>43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/>
      <c r="E29" s="1" t="s">
        <v>12</v>
      </c>
      <c r="F29" s="1" t="s">
        <v>26</v>
      </c>
      <c r="G29" s="1" t="s">
        <v>29</v>
      </c>
      <c r="H29" s="31"/>
    </row>
    <row r="30" spans="2:11" x14ac:dyDescent="0.4">
      <c r="B30" s="29" t="s">
        <v>56</v>
      </c>
      <c r="C30" s="1">
        <v>2</v>
      </c>
      <c r="D30" s="1"/>
      <c r="E30" s="1" t="s">
        <v>12</v>
      </c>
      <c r="F30" s="1" t="s">
        <v>26</v>
      </c>
      <c r="G30" s="1" t="s">
        <v>29</v>
      </c>
      <c r="H30" s="31"/>
    </row>
    <row r="31" spans="2:11" x14ac:dyDescent="0.4">
      <c r="B31" s="29" t="s">
        <v>57</v>
      </c>
      <c r="C31" s="1">
        <v>3</v>
      </c>
      <c r="D31" s="1"/>
      <c r="E31" s="1" t="s">
        <v>28</v>
      </c>
      <c r="F31" s="1" t="s">
        <v>26</v>
      </c>
      <c r="G31" s="1" t="s">
        <v>29</v>
      </c>
      <c r="H31" s="31"/>
    </row>
    <row r="32" spans="2:11" x14ac:dyDescent="0.4">
      <c r="B32" s="73" t="s">
        <v>53</v>
      </c>
      <c r="C32" s="1">
        <v>2</v>
      </c>
      <c r="D32" s="1"/>
      <c r="E32" s="1" t="s">
        <v>58</v>
      </c>
      <c r="F32" s="1" t="s">
        <v>26</v>
      </c>
      <c r="G32" s="1" t="s">
        <v>29</v>
      </c>
      <c r="H32" s="31"/>
    </row>
    <row r="33" spans="2:8" ht="19.5" thickBot="1" x14ac:dyDescent="0.45">
      <c r="B33" s="82" t="s">
        <v>59</v>
      </c>
      <c r="C33" s="83">
        <v>5</v>
      </c>
      <c r="D33" s="11"/>
      <c r="E33" s="11" t="s">
        <v>12</v>
      </c>
      <c r="F33" s="11" t="s">
        <v>26</v>
      </c>
      <c r="G33" s="11" t="s">
        <v>29</v>
      </c>
      <c r="H33" s="33"/>
    </row>
    <row r="34" spans="2:8" x14ac:dyDescent="0.4">
      <c r="B34" s="74" t="s">
        <v>60</v>
      </c>
      <c r="C34" s="75"/>
      <c r="D34" s="75"/>
      <c r="E34" s="75"/>
      <c r="F34" s="75"/>
      <c r="G34" s="75" t="s">
        <v>29</v>
      </c>
      <c r="H34" s="76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x14ac:dyDescent="0.4">
      <c r="B36" s="77" t="s">
        <v>62</v>
      </c>
      <c r="C36" s="1">
        <v>4</v>
      </c>
      <c r="D36" s="1"/>
      <c r="E36" s="1" t="s">
        <v>12</v>
      </c>
      <c r="F36" s="1" t="s">
        <v>30</v>
      </c>
      <c r="G36" s="1" t="s">
        <v>29</v>
      </c>
      <c r="H36" s="78"/>
    </row>
    <row r="37" spans="2:8" ht="19.5" thickBot="1" x14ac:dyDescent="0.45">
      <c r="B37" s="79" t="s">
        <v>63</v>
      </c>
      <c r="C37" s="80">
        <v>4</v>
      </c>
      <c r="D37" s="80"/>
      <c r="E37" s="80" t="s">
        <v>12</v>
      </c>
      <c r="F37" s="80" t="s">
        <v>30</v>
      </c>
      <c r="G37" s="80" t="s">
        <v>29</v>
      </c>
      <c r="H37" s="81"/>
    </row>
    <row r="38" spans="2:8" x14ac:dyDescent="0.4">
      <c r="B38" s="84" t="s">
        <v>64</v>
      </c>
      <c r="C38" s="6"/>
      <c r="D38" s="6"/>
      <c r="E38" s="6"/>
      <c r="F38" s="6"/>
      <c r="G38" s="6" t="s">
        <v>32</v>
      </c>
      <c r="H38" s="85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22" t="s">
        <v>66</v>
      </c>
      <c r="C40" s="1">
        <v>1</v>
      </c>
      <c r="D40" s="1">
        <v>1</v>
      </c>
      <c r="E40" s="1" t="s">
        <v>12</v>
      </c>
      <c r="F40" s="1" t="s">
        <v>26</v>
      </c>
      <c r="G40" s="61" t="s">
        <v>32</v>
      </c>
      <c r="H40" s="31"/>
    </row>
    <row r="41" spans="2:8" x14ac:dyDescent="0.4">
      <c r="B41" s="86" t="s">
        <v>67</v>
      </c>
      <c r="C41" s="1">
        <v>1</v>
      </c>
      <c r="D41" s="1"/>
      <c r="E41" s="1" t="s">
        <v>58</v>
      </c>
      <c r="F41" s="1" t="s">
        <v>26</v>
      </c>
      <c r="G41" s="1" t="s">
        <v>29</v>
      </c>
      <c r="H41" s="31"/>
    </row>
    <row r="42" spans="2:8" ht="19.5" thickBot="1" x14ac:dyDescent="0.45">
      <c r="B42" s="23" t="s">
        <v>68</v>
      </c>
      <c r="C42" s="4">
        <v>1</v>
      </c>
      <c r="D42" s="4">
        <v>1</v>
      </c>
      <c r="E42" s="4" t="s">
        <v>12</v>
      </c>
      <c r="F42" s="4" t="s">
        <v>26</v>
      </c>
      <c r="G42" s="61" t="s">
        <v>32</v>
      </c>
      <c r="H42" s="32"/>
    </row>
    <row r="43" spans="2:8" x14ac:dyDescent="0.4">
      <c r="B43" s="24" t="s">
        <v>69</v>
      </c>
      <c r="C43" s="8"/>
      <c r="D43" s="8"/>
      <c r="E43" s="8"/>
      <c r="F43" s="8"/>
      <c r="G43" s="8" t="s">
        <v>10</v>
      </c>
      <c r="H43" s="30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62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x14ac:dyDescent="0.4">
      <c r="B46" s="25" t="s">
        <v>70</v>
      </c>
      <c r="C46" s="1">
        <v>0.5</v>
      </c>
      <c r="D46" s="1"/>
      <c r="E46" s="1" t="s">
        <v>12</v>
      </c>
      <c r="F46" s="1" t="s">
        <v>30</v>
      </c>
      <c r="G46" s="1" t="s">
        <v>29</v>
      </c>
      <c r="H46" s="31"/>
    </row>
    <row r="47" spans="2:8" ht="19.5" thickBot="1" x14ac:dyDescent="0.45">
      <c r="B47" s="26" t="s">
        <v>63</v>
      </c>
      <c r="C47" s="4">
        <v>0.5</v>
      </c>
      <c r="D47" s="4"/>
      <c r="E47" s="4" t="s">
        <v>12</v>
      </c>
      <c r="F47" s="4" t="s">
        <v>30</v>
      </c>
      <c r="G47" s="4" t="s">
        <v>29</v>
      </c>
      <c r="H47" s="32"/>
    </row>
    <row r="48" spans="2:8" x14ac:dyDescent="0.4">
      <c r="B48" s="27" t="s">
        <v>71</v>
      </c>
      <c r="C48" s="8"/>
      <c r="D48" s="8"/>
      <c r="E48" s="8"/>
      <c r="F48" s="8"/>
      <c r="G48" s="1" t="s">
        <v>29</v>
      </c>
      <c r="H48" s="30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12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28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20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79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19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24</v>
      </c>
      <c r="C58" s="1">
        <v>0.5</v>
      </c>
      <c r="D58" s="1"/>
      <c r="E58" s="1" t="s">
        <v>12</v>
      </c>
      <c r="F58" s="1" t="s">
        <v>30</v>
      </c>
      <c r="G58" s="1" t="s">
        <v>29</v>
      </c>
      <c r="H58" s="31"/>
    </row>
    <row r="59" spans="2:8" x14ac:dyDescent="0.4">
      <c r="B59" s="28" t="s">
        <v>27</v>
      </c>
      <c r="C59" s="1">
        <v>0.5</v>
      </c>
      <c r="D59" s="1"/>
      <c r="E59" s="1" t="s">
        <v>28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x14ac:dyDescent="0.4">
      <c r="B64" s="28" t="s">
        <v>84</v>
      </c>
      <c r="C64" s="1">
        <v>0.5</v>
      </c>
      <c r="D64" s="1"/>
      <c r="E64" s="1" t="s">
        <v>12</v>
      </c>
      <c r="F64" s="1" t="s">
        <v>30</v>
      </c>
      <c r="G64" s="1" t="s">
        <v>29</v>
      </c>
      <c r="H64" s="31"/>
    </row>
    <row r="65" spans="2:8" ht="19.5" thickBot="1" x14ac:dyDescent="0.45">
      <c r="B65" s="45" t="s">
        <v>85</v>
      </c>
      <c r="C65" s="4">
        <v>0.5</v>
      </c>
      <c r="D65" s="4"/>
      <c r="E65" s="4" t="s">
        <v>12</v>
      </c>
      <c r="F65" s="4" t="s">
        <v>30</v>
      </c>
      <c r="G65" s="4" t="s">
        <v>29</v>
      </c>
      <c r="H65" s="32"/>
    </row>
    <row r="66" spans="2:8" x14ac:dyDescent="0.4">
      <c r="B66" s="13" t="s">
        <v>86</v>
      </c>
      <c r="C66" s="8"/>
      <c r="D66" s="8"/>
      <c r="E66" s="8"/>
      <c r="F66" s="8"/>
      <c r="G66" s="1" t="s">
        <v>29</v>
      </c>
      <c r="H66" s="9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3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1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3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x14ac:dyDescent="0.4">
      <c r="B73" s="14" t="s">
        <v>93</v>
      </c>
      <c r="C73" s="1">
        <v>1</v>
      </c>
      <c r="D73" s="1"/>
      <c r="E73" s="1" t="s">
        <v>12</v>
      </c>
      <c r="F73" s="1" t="s">
        <v>30</v>
      </c>
      <c r="G73" s="1" t="s">
        <v>29</v>
      </c>
      <c r="H73" s="3"/>
    </row>
    <row r="74" spans="2:8" ht="19.5" thickBot="1" x14ac:dyDescent="0.45">
      <c r="B74" s="67" t="s">
        <v>94</v>
      </c>
      <c r="C74" s="4">
        <v>1</v>
      </c>
      <c r="D74" s="4"/>
      <c r="E74" s="4" t="s">
        <v>28</v>
      </c>
      <c r="F74" s="4" t="s">
        <v>30</v>
      </c>
      <c r="G74" s="4" t="s">
        <v>29</v>
      </c>
      <c r="H74" s="5"/>
    </row>
    <row r="75" spans="2:8" x14ac:dyDescent="0.4">
      <c r="B75" s="68" t="s">
        <v>95</v>
      </c>
      <c r="C75" s="69"/>
      <c r="D75" s="69"/>
      <c r="E75" s="69"/>
      <c r="F75" s="69"/>
      <c r="G75" s="1" t="s">
        <v>29</v>
      </c>
      <c r="H75" s="70"/>
    </row>
    <row r="76" spans="2:8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14</v>
      </c>
      <c r="H76" s="12"/>
    </row>
    <row r="77" spans="2:8" x14ac:dyDescent="0.4">
      <c r="B77" s="71" t="s">
        <v>97</v>
      </c>
      <c r="C77" s="11">
        <v>5</v>
      </c>
      <c r="D77" s="11">
        <v>5</v>
      </c>
      <c r="E77" s="11" t="s">
        <v>12</v>
      </c>
      <c r="F77" s="11" t="s">
        <v>13</v>
      </c>
      <c r="G77" s="11" t="s">
        <v>118</v>
      </c>
      <c r="H77" s="12"/>
    </row>
    <row r="78" spans="2:8" ht="19.5" thickBot="1" x14ac:dyDescent="0.45">
      <c r="B78" s="71" t="s">
        <v>98</v>
      </c>
      <c r="C78" s="11">
        <v>10</v>
      </c>
      <c r="D78" s="11">
        <v>10</v>
      </c>
      <c r="E78" s="11" t="s">
        <v>58</v>
      </c>
      <c r="F78" s="11" t="s">
        <v>13</v>
      </c>
      <c r="G78" s="11" t="s">
        <v>32</v>
      </c>
      <c r="H78" s="12"/>
    </row>
    <row r="79" spans="2:8" x14ac:dyDescent="0.4">
      <c r="B79" s="87" t="s">
        <v>99</v>
      </c>
      <c r="C79" s="88"/>
      <c r="D79" s="88"/>
      <c r="E79" s="88"/>
      <c r="F79" s="88"/>
      <c r="G79" s="88" t="s">
        <v>14</v>
      </c>
      <c r="H79" s="89"/>
    </row>
    <row r="80" spans="2:8" x14ac:dyDescent="0.4">
      <c r="B80" s="90" t="s">
        <v>100</v>
      </c>
      <c r="C80" s="1">
        <v>4</v>
      </c>
      <c r="D80" s="1">
        <v>4</v>
      </c>
      <c r="E80" s="1" t="s">
        <v>58</v>
      </c>
      <c r="F80" s="11" t="s">
        <v>13</v>
      </c>
      <c r="G80" s="11" t="s">
        <v>14</v>
      </c>
      <c r="H80" s="78" t="s">
        <v>101</v>
      </c>
    </row>
    <row r="81" spans="2:8" ht="19.5" thickBot="1" x14ac:dyDescent="0.45">
      <c r="B81" s="94" t="s">
        <v>102</v>
      </c>
      <c r="C81" s="11">
        <v>5</v>
      </c>
      <c r="D81" s="11">
        <v>5</v>
      </c>
      <c r="E81" s="11" t="s">
        <v>58</v>
      </c>
      <c r="F81" s="11" t="s">
        <v>13</v>
      </c>
      <c r="G81" s="11" t="s">
        <v>14</v>
      </c>
      <c r="H81" s="93" t="s">
        <v>103</v>
      </c>
    </row>
    <row r="82" spans="2:8" x14ac:dyDescent="0.4">
      <c r="B82" s="91" t="s">
        <v>104</v>
      </c>
      <c r="C82" s="88"/>
      <c r="D82" s="88"/>
      <c r="E82" s="88"/>
      <c r="F82" s="88"/>
      <c r="G82" s="75" t="s">
        <v>10</v>
      </c>
      <c r="H82" s="89"/>
    </row>
    <row r="83" spans="2:8" x14ac:dyDescent="0.4">
      <c r="B83" s="92" t="s">
        <v>105</v>
      </c>
      <c r="C83" s="1">
        <v>6</v>
      </c>
      <c r="D83" s="1"/>
      <c r="E83" s="1" t="s">
        <v>58</v>
      </c>
      <c r="F83" s="1" t="s">
        <v>44</v>
      </c>
      <c r="G83" s="1" t="s">
        <v>10</v>
      </c>
      <c r="H83" s="78"/>
    </row>
    <row r="84" spans="2:8" ht="19.5" thickBot="1" x14ac:dyDescent="0.45">
      <c r="B84" s="96" t="s">
        <v>106</v>
      </c>
      <c r="C84" s="80">
        <v>2</v>
      </c>
      <c r="D84" s="80">
        <v>2</v>
      </c>
      <c r="E84" s="80" t="s">
        <v>58</v>
      </c>
      <c r="F84" s="80" t="s">
        <v>13</v>
      </c>
      <c r="G84" s="80" t="s">
        <v>14</v>
      </c>
      <c r="H84" s="81"/>
    </row>
    <row r="85" spans="2:8" x14ac:dyDescent="0.4">
      <c r="B85" s="95" t="s">
        <v>107</v>
      </c>
      <c r="C85" s="65"/>
      <c r="D85" s="65"/>
      <c r="E85" s="65"/>
      <c r="F85" s="65"/>
      <c r="G85" s="65" t="s">
        <v>10</v>
      </c>
      <c r="H85" s="66"/>
    </row>
    <row r="86" spans="2:8" x14ac:dyDescent="0.4">
      <c r="B86" s="72" t="s">
        <v>108</v>
      </c>
      <c r="C86" s="11">
        <v>1</v>
      </c>
      <c r="D86" s="11">
        <v>1</v>
      </c>
      <c r="E86" s="11" t="s">
        <v>58</v>
      </c>
      <c r="F86" s="11" t="s">
        <v>44</v>
      </c>
      <c r="G86" s="11" t="s">
        <v>14</v>
      </c>
      <c r="H86" s="33"/>
    </row>
    <row r="87" spans="2:8" x14ac:dyDescent="0.4">
      <c r="B87" s="72" t="s">
        <v>109</v>
      </c>
      <c r="C87" s="11">
        <v>1</v>
      </c>
      <c r="D87" s="11">
        <v>1</v>
      </c>
      <c r="E87" s="11" t="s">
        <v>58</v>
      </c>
      <c r="F87" s="11" t="s">
        <v>44</v>
      </c>
      <c r="G87" s="11" t="s">
        <v>14</v>
      </c>
      <c r="H87" s="33"/>
    </row>
    <row r="88" spans="2:8" x14ac:dyDescent="0.4">
      <c r="B88" s="29" t="s">
        <v>110</v>
      </c>
      <c r="C88" s="1">
        <v>1</v>
      </c>
      <c r="D88" s="1">
        <v>1</v>
      </c>
      <c r="E88" s="1" t="s">
        <v>58</v>
      </c>
      <c r="F88" s="11" t="s">
        <v>13</v>
      </c>
      <c r="G88" s="1" t="s">
        <v>32</v>
      </c>
      <c r="H88" s="31"/>
    </row>
    <row r="89" spans="2:8" x14ac:dyDescent="0.4">
      <c r="B89" s="72" t="s">
        <v>111</v>
      </c>
      <c r="C89" s="11">
        <v>1</v>
      </c>
      <c r="D89" s="11">
        <v>1</v>
      </c>
      <c r="E89" s="11" t="s">
        <v>58</v>
      </c>
      <c r="F89" s="11" t="s">
        <v>13</v>
      </c>
      <c r="G89" s="11" t="s">
        <v>14</v>
      </c>
      <c r="H89" s="33"/>
    </row>
    <row r="90" spans="2:8" x14ac:dyDescent="0.4">
      <c r="B90" s="72" t="s">
        <v>112</v>
      </c>
      <c r="C90" s="11">
        <v>1</v>
      </c>
      <c r="D90" s="11">
        <v>1</v>
      </c>
      <c r="E90" s="11" t="s">
        <v>58</v>
      </c>
      <c r="F90" s="11" t="s">
        <v>13</v>
      </c>
      <c r="G90" s="11" t="s">
        <v>14</v>
      </c>
      <c r="H90" s="33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/>
  </sheetViews>
  <sheetFormatPr defaultRowHeight="18.75" x14ac:dyDescent="0.4"/>
  <sheetData>
    <row r="3" spans="1:10" x14ac:dyDescent="0.4">
      <c r="A3" t="s">
        <v>113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114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115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116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40">
        <f t="shared" si="2"/>
        <v>9</v>
      </c>
      <c r="C19" s="40">
        <f t="shared" si="2"/>
        <v>10</v>
      </c>
      <c r="D19" s="40">
        <f t="shared" si="2"/>
        <v>11</v>
      </c>
      <c r="E19" s="40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117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クラス図</vt:lpstr>
      <vt:lpstr>コスト表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2026-07-22T12:17:38Z</dcterms:modified>
  <cp:category/>
  <cp:contentStatus/>
</cp:coreProperties>
</file>