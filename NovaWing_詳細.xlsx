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6A957D44-6DBC-465A-BDB2-28B60222CD06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2" i="3" l="1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L9" i="2" s="1"/>
  <c r="K10" i="2"/>
  <c r="L10" i="2" s="1"/>
  <c r="K11" i="2"/>
  <c r="L11" i="2" s="1"/>
  <c r="K8" i="2"/>
  <c r="L8" i="2" s="1"/>
  <c r="J17" i="2"/>
  <c r="J15" i="2"/>
  <c r="K12" i="2" l="1"/>
  <c r="L12" i="2"/>
  <c r="K17" i="2"/>
  <c r="K15" i="2"/>
  <c r="M15" i="2" l="1"/>
  <c r="L15" i="2"/>
</calcChain>
</file>

<file path=xl/sharedStrings.xml><?xml version="1.0" encoding="utf-8"?>
<sst xmlns="http://schemas.openxmlformats.org/spreadsheetml/2006/main" count="243" uniqueCount="148">
  <si>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</si>
  <si>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</si>
  <si>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</si>
  <si>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</si>
  <si>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</si>
  <si>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</si>
  <si>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</si>
  <si>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</si>
  <si>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</si>
  <si>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</si>
  <si>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</si>
  <si>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</si>
  <si>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</si>
  <si>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</si>
  <si>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</si>
  <si>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</si>
  <si>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</si>
  <si>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</si>
  <si>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</si>
  <si>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</si>
  <si>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</si>
  <si>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</si>
  <si>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</si>
  <si>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</si>
  <si>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</si>
  <si>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</si>
  <si>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</si>
  <si>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</si>
  <si>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</si>
  <si>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</si>
  <si>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</si>
  <si>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</si>
  <si>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</si>
  <si>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</si>
  <si>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</si>
  <si>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</si>
  <si>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</si>
  <si>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</si>
  <si>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</si>
  <si>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</si>
  <si>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</si>
  <si>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</si>
  <si>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</si>
  <si>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　ー本配置</t>
  </si>
  <si>
    <t>　ー仮配置</t>
  </si>
  <si>
    <t>エフェクト</t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</si>
  <si>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</si>
  <si>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</si>
  <si>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</si>
  <si>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</si>
  <si>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</si>
  <si>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</si>
  <si>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</si>
  <si>
    <t>宙返りの動きが、正円すぎる。その場で留まって円を描いている感じがおかしく見える</t>
    <rPh sb="0" eb="2">
      <t>チュウガエ</t>
    </rPh>
    <rPh sb="4" eb="5">
      <t>ウゴ</t>
    </rPh>
    <rPh sb="8" eb="9">
      <t>タダ</t>
    </rPh>
    <rPh sb="9" eb="10">
      <t>エン</t>
    </rPh>
    <rPh sb="16" eb="17">
      <t>バ</t>
    </rPh>
    <rPh sb="18" eb="19">
      <t>ト</t>
    </rPh>
    <rPh sb="22" eb="23">
      <t>エン</t>
    </rPh>
    <rPh sb="24" eb="25">
      <t>エガ</t>
    </rPh>
    <rPh sb="29" eb="30">
      <t>カン</t>
    </rPh>
    <rPh sb="36" eb="37">
      <t>ミ</t>
    </rPh>
    <phoneticPr fontId="1"/>
  </si>
  <si>
    <t>宙返りの時にレティクルを消す</t>
    <rPh sb="0" eb="2">
      <t>チュウガエ</t>
    </rPh>
    <rPh sb="4" eb="5">
      <t>トキ</t>
    </rPh>
    <rPh sb="12" eb="13">
      <t>ケ</t>
    </rPh>
    <phoneticPr fontId="1"/>
  </si>
  <si>
    <t>宙返り連打できてしまう</t>
    <rPh sb="0" eb="2">
      <t>チュウガエ</t>
    </rPh>
    <rPh sb="3" eb="5">
      <t>レンダ</t>
    </rPh>
    <phoneticPr fontId="1"/>
  </si>
  <si>
    <t>音</t>
    <rPh sb="0" eb="1">
      <t>オト</t>
    </rPh>
    <phoneticPr fontId="1"/>
  </si>
  <si>
    <t>プレイヤー</t>
    <phoneticPr fontId="1"/>
  </si>
  <si>
    <t>　ーショット</t>
    <phoneticPr fontId="1"/>
  </si>
  <si>
    <t>　ーチャージショット</t>
    <phoneticPr fontId="1"/>
  </si>
  <si>
    <t>　ーブースト</t>
    <phoneticPr fontId="1"/>
  </si>
  <si>
    <t>　ーブレーキ</t>
    <phoneticPr fontId="1"/>
  </si>
  <si>
    <t>　ー宙返り</t>
    <rPh sb="2" eb="4">
      <t>チュウガエ</t>
    </rPh>
    <phoneticPr fontId="1"/>
  </si>
  <si>
    <t>　ーBGＭ</t>
    <phoneticPr fontId="1"/>
  </si>
  <si>
    <t>　ー決定音</t>
    <rPh sb="2" eb="4">
      <t>ケッテイ</t>
    </rPh>
    <rPh sb="4" eb="5">
      <t>オン</t>
    </rPh>
    <phoneticPr fontId="1"/>
  </si>
  <si>
    <t>　ーカーソル音</t>
    <rPh sb="6" eb="7">
      <t>オン</t>
    </rPh>
    <phoneticPr fontId="1"/>
  </si>
  <si>
    <t>タイトル</t>
    <phoneticPr fontId="1"/>
  </si>
  <si>
    <t>　ータイトルロゴ出現の音</t>
    <rPh sb="8" eb="10">
      <t>シュツゲン</t>
    </rPh>
    <rPh sb="11" eb="12">
      <t>オト</t>
    </rPh>
    <phoneticPr fontId="1"/>
  </si>
  <si>
    <t>敵へのターゲットを距離でやっているせいでボスが召喚したワームが
手前に近づいてきて、すぐにロックオンから外れてしまう</t>
    <rPh sb="0" eb="1">
      <t>テキ</t>
    </rPh>
    <rPh sb="9" eb="11">
      <t>キョリ</t>
    </rPh>
    <rPh sb="23" eb="25">
      <t>ショウカン</t>
    </rPh>
    <rPh sb="32" eb="34">
      <t>テマエ</t>
    </rPh>
    <rPh sb="35" eb="36">
      <t>チカ</t>
    </rPh>
    <rPh sb="52" eb="53">
      <t>ハズ</t>
    </rPh>
    <phoneticPr fontId="1"/>
  </si>
  <si>
    <t>ステータス</t>
    <phoneticPr fontId="1"/>
  </si>
  <si>
    <t>内容</t>
    <rPh sb="0" eb="2">
      <t>ナイヨウ</t>
    </rPh>
    <phoneticPr fontId="1"/>
  </si>
  <si>
    <t>ボス</t>
    <phoneticPr fontId="1"/>
  </si>
  <si>
    <t>　ー死亡</t>
    <rPh sb="2" eb="4">
      <t>シボウ</t>
    </rPh>
    <phoneticPr fontId="1"/>
  </si>
  <si>
    <t>拾った</t>
    <rPh sb="0" eb="1">
      <t>ヒロ</t>
    </rPh>
    <phoneticPr fontId="1"/>
  </si>
  <si>
    <t>　ーチャージ中</t>
    <rPh sb="6" eb="7">
      <t>チュウ</t>
    </rPh>
    <phoneticPr fontId="1"/>
  </si>
  <si>
    <t>浮遊敵</t>
    <rPh sb="0" eb="2">
      <t>フユウ</t>
    </rPh>
    <rPh sb="2" eb="3">
      <t>テキ</t>
    </rPh>
    <phoneticPr fontId="1"/>
  </si>
  <si>
    <t>　ー死亡</t>
    <rPh sb="2" eb="4">
      <t>シボウ</t>
    </rPh>
    <phoneticPr fontId="1"/>
  </si>
  <si>
    <t>　ー弾</t>
    <rPh sb="2" eb="3">
      <t>タマ</t>
    </rPh>
    <phoneticPr fontId="1"/>
  </si>
  <si>
    <t>　ー起動音</t>
    <rPh sb="2" eb="5">
      <t>キドウオン</t>
    </rPh>
    <phoneticPr fontId="1"/>
  </si>
  <si>
    <t>実装</t>
    <rPh sb="0" eb="2">
      <t>ジッソウ</t>
    </rPh>
    <phoneticPr fontId="1"/>
  </si>
  <si>
    <t>ワーム</t>
    <phoneticPr fontId="1"/>
  </si>
  <si>
    <t>　ー動いているときの音</t>
    <rPh sb="2" eb="3">
      <t>ウゴ</t>
    </rPh>
    <rPh sb="10" eb="11">
      <t>オト</t>
    </rPh>
    <phoneticPr fontId="1"/>
  </si>
  <si>
    <t>　ービーム</t>
    <phoneticPr fontId="1"/>
  </si>
  <si>
    <t>　ー雑魚召喚</t>
    <rPh sb="2" eb="4">
      <t>ザコ</t>
    </rPh>
    <rPh sb="4" eb="6">
      <t>ショウカン</t>
    </rPh>
    <phoneticPr fontId="1"/>
  </si>
  <si>
    <t>　ー移動</t>
    <rPh sb="2" eb="4">
      <t>イドウ</t>
    </rPh>
    <phoneticPr fontId="1"/>
  </si>
  <si>
    <t>　ー回復</t>
    <rPh sb="2" eb="4">
      <t>カイフク</t>
    </rPh>
    <phoneticPr fontId="1"/>
  </si>
  <si>
    <t>　ー海につかった時の音</t>
    <rPh sb="2" eb="3">
      <t>ウミ</t>
    </rPh>
    <rPh sb="8" eb="9">
      <t>トキ</t>
    </rPh>
    <rPh sb="10" eb="11">
      <t>オト</t>
    </rPh>
    <phoneticPr fontId="1"/>
  </si>
  <si>
    <t>　ーダメージ</t>
    <phoneticPr fontId="1"/>
  </si>
  <si>
    <t>　ーボスが下りてくるときの音</t>
    <rPh sb="5" eb="6">
      <t>オ</t>
    </rPh>
    <rPh sb="13" eb="14">
      <t>オト</t>
    </rPh>
    <phoneticPr fontId="1"/>
  </si>
  <si>
    <t>　ーボスが着地するときの音</t>
    <rPh sb="5" eb="7">
      <t>チャクチ</t>
    </rPh>
    <rPh sb="12" eb="13">
      <t>オト</t>
    </rPh>
    <phoneticPr fontId="1"/>
  </si>
  <si>
    <t>　ーチャージ完了</t>
    <rPh sb="6" eb="8">
      <t>カンリョウ</t>
    </rPh>
    <phoneticPr fontId="1"/>
  </si>
  <si>
    <t>ボスの死亡エフェクトがめっちゃでる</t>
    <rPh sb="3" eb="5">
      <t>シボウ</t>
    </rPh>
    <phoneticPr fontId="1"/>
  </si>
  <si>
    <t>宙返りしたときにボスがめっちゃついてきてる感がある</t>
    <rPh sb="0" eb="2">
      <t>チュウガエ</t>
    </rPh>
    <rPh sb="21" eb="22">
      <t>カン</t>
    </rPh>
    <phoneticPr fontId="1"/>
  </si>
  <si>
    <t>解決</t>
    <rPh sb="0" eb="2">
      <t>カイケツ</t>
    </rPh>
    <phoneticPr fontId="1"/>
  </si>
  <si>
    <t>　ーカメラが揺れるときの地震の音</t>
    <rPh sb="6" eb="7">
      <t>ユ</t>
    </rPh>
    <rPh sb="12" eb="14">
      <t>ジシン</t>
    </rPh>
    <rPh sb="15" eb="16">
      <t>オト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</si>
  <si>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</si>
  <si>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</si>
  <si>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</si>
  <si>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</si>
  <si>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</si>
  <si>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</si>
  <si>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</si>
  <si>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</si>
  <si>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</si>
  <si>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</si>
  <si>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</si>
  <si>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</si>
  <si>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</si>
  <si>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</si>
  <si>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</si>
  <si>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</si>
  <si>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</si>
  <si>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</si>
  <si>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</si>
  <si>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</si>
  <si>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</si>
  <si>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</si>
  <si>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</si>
  <si>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</si>
  <si>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</si>
  <si>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</si>
  <si>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</si>
  <si>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</si>
  <si>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</si>
  <si>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</si>
  <si>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</si>
  <si>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</si>
  <si>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</si>
  <si>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</si>
  <si>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</si>
  <si>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</si>
  <si>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</si>
  <si>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</si>
  <si>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</si>
  <si>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</si>
  <si>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</si>
  <si>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</si>
  <si>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</si>
  <si>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</si>
  <si>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</si>
  <si>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</si>
  <si>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</si>
  <si>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</si>
  <si>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</si>
  <si>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</si>
  <si>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</si>
  <si>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</si>
  <si>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追加点5で強化予定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</si>
</sst>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54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3" borderId="17" xfId="0" applyFill="1" applyBorder="1">
      <alignment vertical="center"/>
    </xf>
    <xf numFmtId="0" fontId="0" fillId="3" borderId="18" xfId="0" applyFill="1" applyBorder="1">
      <alignment vertical="center"/>
    </xf>
    <xf numFmtId="0" fontId="0" fillId="4" borderId="18" xfId="0" applyFill="1" applyBorder="1">
      <alignment vertical="center"/>
    </xf>
    <xf numFmtId="0" fontId="0" fillId="4" borderId="19" xfId="0" applyFill="1" applyBorder="1">
      <alignment vertical="center"/>
    </xf>
    <xf numFmtId="0" fontId="0" fillId="5" borderId="17" xfId="0" applyFill="1" applyBorder="1">
      <alignment vertical="center"/>
    </xf>
    <xf numFmtId="0" fontId="0" fillId="5" borderId="18" xfId="0" applyFill="1" applyBorder="1">
      <alignment vertical="center"/>
    </xf>
    <xf numFmtId="0" fontId="0" fillId="7" borderId="18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8" borderId="19" xfId="0" applyFill="1" applyBorder="1">
      <alignment vertical="center"/>
    </xf>
    <xf numFmtId="0" fontId="0" fillId="9" borderId="17" xfId="0" applyFill="1" applyBorder="1">
      <alignment vertical="center"/>
    </xf>
    <xf numFmtId="0" fontId="0" fillId="9" borderId="18" xfId="0" applyFill="1" applyBorder="1">
      <alignment vertical="center"/>
    </xf>
    <xf numFmtId="0" fontId="0" fillId="10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9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4" borderId="28" xfId="0" applyFill="1" applyBorder="1">
      <alignment vertical="center"/>
    </xf>
    <xf numFmtId="0" fontId="0" fillId="11" borderId="2" xfId="0" applyFill="1" applyBorder="1">
      <alignment vertical="center"/>
    </xf>
    <xf numFmtId="0" fontId="0" fillId="11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3" fillId="2" borderId="0" xfId="0" applyFont="1" applyFill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10" borderId="7" xfId="0" applyFill="1" applyBorder="1">
      <alignment vertical="center"/>
    </xf>
    <xf numFmtId="0" fontId="0" fillId="2" borderId="42" xfId="0" applyFill="1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2" borderId="14" xfId="0" applyFill="1" applyBorder="1">
      <alignment vertical="center"/>
    </xf>
    <xf numFmtId="0" fontId="0" fillId="10" borderId="20" xfId="0" applyFill="1" applyBorder="1">
      <alignment vertical="center"/>
    </xf>
    <xf numFmtId="0" fontId="0" fillId="12" borderId="20" xfId="0" applyFill="1" applyBorder="1">
      <alignment vertical="center"/>
    </xf>
    <xf numFmtId="0" fontId="0" fillId="6" borderId="45" xfId="0" applyFill="1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6" borderId="48" xfId="0" applyFill="1" applyBorder="1">
      <alignment vertical="center"/>
    </xf>
    <xf numFmtId="0" fontId="0" fillId="0" borderId="49" xfId="0" applyBorder="1">
      <alignment vertical="center"/>
    </xf>
    <xf numFmtId="0" fontId="0" fillId="6" borderId="50" xfId="0" applyFill="1" applyBorder="1">
      <alignment vertical="center"/>
    </xf>
    <xf numFmtId="0" fontId="0" fillId="0" borderId="51" xfId="0" applyBorder="1">
      <alignment vertical="center"/>
    </xf>
    <xf numFmtId="0" fontId="0" fillId="0" borderId="52" xfId="0" applyBorder="1">
      <alignment vertical="center"/>
    </xf>
    <xf numFmtId="0" fontId="0" fillId="10" borderId="53" xfId="0" applyFill="1" applyBorder="1">
      <alignment vertical="center"/>
    </xf>
    <xf numFmtId="0" fontId="0" fillId="0" borderId="20" xfId="0" applyBorder="1">
      <alignment vertical="center"/>
    </xf>
    <xf numFmtId="0" fontId="0" fillId="7" borderId="28" xfId="0" applyFill="1" applyBorder="1">
      <alignment vertical="center"/>
    </xf>
    <xf numFmtId="0" fontId="0" fillId="0" borderId="29" xfId="0" applyBorder="1">
      <alignment vertical="center"/>
    </xf>
    <xf numFmtId="0" fontId="0" fillId="15" borderId="18" xfId="0" applyFill="1" applyBorder="1">
      <alignment vertical="center"/>
    </xf>
    <xf numFmtId="0" fontId="0" fillId="0" borderId="55" xfId="0" applyBorder="1">
      <alignment vertical="center"/>
    </xf>
    <xf numFmtId="0" fontId="0" fillId="0" borderId="56" xfId="0" applyBorder="1">
      <alignment vertical="center"/>
    </xf>
    <xf numFmtId="0" fontId="0" fillId="13" borderId="54" xfId="0" applyFill="1" applyBorder="1">
      <alignment vertical="center"/>
    </xf>
    <xf numFmtId="0" fontId="0" fillId="14" borderId="48" xfId="0" applyFill="1" applyBorder="1">
      <alignment vertical="center"/>
    </xf>
    <xf numFmtId="0" fontId="0" fillId="10" borderId="39" xfId="0" applyFill="1" applyBorder="1">
      <alignment vertical="center"/>
    </xf>
    <xf numFmtId="0" fontId="0" fillId="13" borderId="50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57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58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58" xfId="0" applyFont="1" applyBorder="1">
      <alignment vertical="center"/>
    </xf>
    <xf numFmtId="0" fontId="0" fillId="16" borderId="18" xfId="0" applyFill="1" applyBorder="1">
      <alignment vertical="center"/>
    </xf>
    <xf numFmtId="0" fontId="0" fillId="17" borderId="18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22" xfId="0" applyFill="1" applyBorder="1">
      <alignment vertical="center"/>
    </xf>
    <xf numFmtId="0" fontId="0" fillId="18" borderId="18" xfId="0" applyFill="1" applyBorder="1">
      <alignment vertical="center"/>
    </xf>
    <xf numFmtId="0" fontId="0" fillId="19" borderId="0" xfId="0" applyFill="1">
      <alignment vertical="center"/>
    </xf>
    <xf numFmtId="0" fontId="0" fillId="20" borderId="0" xfId="0" applyFill="1">
      <alignment vertical="center"/>
    </xf>
    <xf numFmtId="0" fontId="0" fillId="21" borderId="0" xfId="0" applyFill="1">
      <alignment vertical="center"/>
    </xf>
    <xf numFmtId="0" fontId="0" fillId="22" borderId="0" xfId="0" applyFill="1">
      <alignment vertical="center"/>
    </xf>
    <xf numFmtId="0" fontId="0" fillId="23" borderId="0" xfId="0" applyFill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4" totalsRowShown="0" headerRowDxfId="9" headerRowBorderDxfId="8" tableBorderDxfId="7">
  <autoFilter ref="B2:H84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4"/>
  <sheetViews>
    <sheetView tabSelected="1" topLeftCell="A56" zoomScaleNormal="100" workbookViewId="0">
      <selection activeCell="A74" sqref="A74:H74"/>
    </sheetView>
  </sheetViews>
  <sheetFormatPr defaultRowHeight="18.75" x14ac:dyDescent="0.4"/>
  <cols>
    <col min="1" max="1" width="13.75" bestFit="1" customWidth="1"/>
    <col min="2" max="2" width="37.8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53" t="s">
        <v>1</v>
      </c>
    </row>
    <row r="2" spans="1:13" ht="19.5" thickBot="1" x14ac:dyDescent="0.45">
      <c r="B2" s="39" t="s">
        <v>2</v>
      </c>
      <c r="C2" s="38" t="s">
        <v>3</v>
      </c>
      <c r="D2" s="38" t="s">
        <v>4</v>
      </c>
      <c r="E2" s="38" t="s">
        <v>5</v>
      </c>
      <c r="F2" s="38" t="s">
        <v>6</v>
      </c>
      <c r="G2" s="38" t="s">
        <v>7</v>
      </c>
      <c r="H2" s="37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28"/>
    </row>
    <row r="4" spans="1:13" x14ac:dyDescent="0.4">
      <c r="B4" s="16" t="s">
        <v>95</v>
      </c>
      <c r="C4" s="1"/>
      <c r="D4" s="1"/>
      <c r="E4" s="1"/>
      <c r="F4" s="1"/>
      <c r="G4" s="1"/>
      <c r="H4" s="29" t="s">
        <v>146</v>
      </c>
    </row>
    <row r="5" spans="1:13" x14ac:dyDescent="0.4">
      <c r="B5" s="93" t="s">
        <v>96</v>
      </c>
      <c r="C5" s="1"/>
      <c r="D5" s="1"/>
      <c r="E5" s="1"/>
      <c r="F5" s="1"/>
      <c r="G5" s="1"/>
      <c r="H5" s="29"/>
    </row>
    <row r="6" spans="1:13" ht="19.5" thickBot="1" x14ac:dyDescent="0.45">
      <c r="B6" s="93" t="s">
        <v>97</v>
      </c>
      <c r="C6" s="1"/>
      <c r="D6" s="1"/>
      <c r="E6" s="1"/>
      <c r="F6" s="1"/>
      <c r="G6" s="1"/>
      <c r="H6" s="29"/>
      <c r="J6" s="35"/>
    </row>
    <row r="7" spans="1:13" ht="19.5" thickBot="1" x14ac:dyDescent="0.45">
      <c r="B7" s="93" t="s">
        <v>98</v>
      </c>
      <c r="C7" s="1"/>
      <c r="D7" s="1"/>
      <c r="E7" s="1"/>
      <c r="F7" s="1"/>
      <c r="G7" s="1"/>
      <c r="H7" s="29"/>
      <c r="J7" s="7" t="s">
        <v>13</v>
      </c>
      <c r="K7" s="8" t="s">
        <v>14</v>
      </c>
      <c r="L7" s="9" t="s">
        <v>15</v>
      </c>
    </row>
    <row r="8" spans="1:13" x14ac:dyDescent="0.4">
      <c r="B8" s="13" t="s">
        <v>19</v>
      </c>
      <c r="C8" s="8"/>
      <c r="D8" s="8"/>
      <c r="E8" s="8"/>
      <c r="F8" s="8"/>
      <c r="G8" s="8"/>
      <c r="H8" s="9"/>
      <c r="J8" s="2" t="s">
        <v>12</v>
      </c>
      <c r="K8" s="1">
        <f>SUMIF(F$4:F$84,J8,C$4:C$84)</f>
        <v>2</v>
      </c>
      <c r="L8" s="3">
        <f>K8-SUMIFS(テーブル1[見積コスト],テーブル1[バージョン],J8,テーブル1[ステータス],"完了")</f>
        <v>2</v>
      </c>
    </row>
    <row r="9" spans="1:13" ht="19.5" thickBot="1" x14ac:dyDescent="0.45">
      <c r="B9" s="14" t="s">
        <v>99</v>
      </c>
      <c r="C9" s="1"/>
      <c r="D9" s="1"/>
      <c r="E9" s="1"/>
      <c r="F9" s="11"/>
      <c r="G9" s="1"/>
      <c r="H9" s="3"/>
      <c r="J9" s="2" t="s">
        <v>16</v>
      </c>
      <c r="K9" s="1">
        <f>SUMIF(F$4:F$84,J9,C$4:C$84)</f>
        <v>6</v>
      </c>
      <c r="L9" s="3">
        <f>K9-SUMIFS(テーブル1[見積コスト],テーブル1[バージョン],J9,テーブル1[ステータス],"完了")</f>
        <v>6</v>
      </c>
    </row>
    <row r="10" spans="1:13" x14ac:dyDescent="0.4">
      <c r="B10" s="41" t="s">
        <v>23</v>
      </c>
      <c r="C10" s="8"/>
      <c r="D10" s="8"/>
      <c r="E10" s="8"/>
      <c r="F10" s="8"/>
      <c r="G10" s="8" t="s">
        <v>10</v>
      </c>
      <c r="H10" s="9"/>
      <c r="J10" s="2" t="s">
        <v>18</v>
      </c>
      <c r="K10" s="1">
        <f>SUMIF(F$4:F$84,J10,C$4:C$84)</f>
        <v>1.5</v>
      </c>
      <c r="L10" s="3">
        <f>K10-SUMIFS(テーブル1[見積コスト],テーブル1[バージョン],J10,テーブル1[ステータス],"完了")</f>
        <v>1.5</v>
      </c>
    </row>
    <row r="11" spans="1:13" ht="19.5" thickBot="1" x14ac:dyDescent="0.45">
      <c r="B11" s="42" t="s">
        <v>100</v>
      </c>
      <c r="C11" s="1"/>
      <c r="D11" s="1"/>
      <c r="E11" s="1"/>
      <c r="F11" s="1"/>
      <c r="G11" s="1"/>
      <c r="H11" s="3"/>
      <c r="J11" s="10" t="s">
        <v>21</v>
      </c>
      <c r="K11" s="1">
        <f>SUMIF(F$4:F$84,J11,C$4:C$84)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40" t="s">
        <v>124</v>
      </c>
      <c r="C12" s="6"/>
      <c r="D12" s="6"/>
      <c r="E12" s="6"/>
      <c r="F12" s="6"/>
      <c r="G12" s="6"/>
      <c r="H12" s="48"/>
      <c r="J12" s="32" t="s">
        <v>22</v>
      </c>
      <c r="K12" s="33">
        <f>SUM(K8:K11)</f>
        <v>9.5</v>
      </c>
      <c r="L12" s="34">
        <f>SUM(L8:L11)</f>
        <v>9.5</v>
      </c>
    </row>
    <row r="13" spans="1:13" ht="19.5" thickBot="1" x14ac:dyDescent="0.45">
      <c r="B13" s="17" t="s">
        <v>101</v>
      </c>
      <c r="C13" s="1"/>
      <c r="D13" s="1"/>
      <c r="E13" s="1"/>
      <c r="F13" s="1"/>
      <c r="G13" s="1"/>
      <c r="H13" s="29"/>
    </row>
    <row r="14" spans="1:13" x14ac:dyDescent="0.4">
      <c r="B14" s="17" t="s">
        <v>102</v>
      </c>
      <c r="C14" s="1"/>
      <c r="D14" s="1"/>
      <c r="E14" s="1"/>
      <c r="F14" s="1"/>
      <c r="G14" s="1"/>
      <c r="H14" s="29"/>
      <c r="J14" s="43" t="s">
        <v>24</v>
      </c>
      <c r="K14" s="44" t="s">
        <v>25</v>
      </c>
      <c r="L14" s="44" t="s">
        <v>26</v>
      </c>
      <c r="M14" s="45" t="s">
        <v>27</v>
      </c>
    </row>
    <row r="15" spans="1:13" ht="19.5" thickBot="1" x14ac:dyDescent="0.45">
      <c r="B15" s="17" t="s">
        <v>103</v>
      </c>
      <c r="C15" s="1"/>
      <c r="D15" s="1"/>
      <c r="E15" s="1"/>
      <c r="F15" s="1"/>
      <c r="G15" s="1"/>
      <c r="H15" s="29"/>
      <c r="J15" s="46">
        <f>DATE(2026,6,11)</f>
        <v>46184</v>
      </c>
      <c r="K15" s="52">
        <f>_xlfn.DAYS(J17,J15)</f>
        <v>84</v>
      </c>
      <c r="L15" s="52">
        <f>K12/K15</f>
        <v>0.1130952380952381</v>
      </c>
      <c r="M15" s="47">
        <f ca="1">(K12-L12) / _xlfn.DAYS(TODAY(),J15)</f>
        <v>0</v>
      </c>
    </row>
    <row r="16" spans="1:13" ht="19.5" thickBot="1" x14ac:dyDescent="0.45">
      <c r="B16" s="18" t="s">
        <v>104</v>
      </c>
      <c r="C16" s="4"/>
      <c r="D16" s="4"/>
      <c r="E16" s="4"/>
      <c r="F16" s="4"/>
      <c r="G16" s="1"/>
      <c r="H16" s="30"/>
      <c r="J16" s="49" t="s">
        <v>29</v>
      </c>
      <c r="K16" s="50" t="s">
        <v>30</v>
      </c>
    </row>
    <row r="17" spans="2:11" ht="19.5" thickBot="1" x14ac:dyDescent="0.45">
      <c r="B17" s="19" t="s">
        <v>123</v>
      </c>
      <c r="C17" s="8"/>
      <c r="D17" s="8"/>
      <c r="E17" s="8"/>
      <c r="F17" s="8"/>
      <c r="G17" s="8"/>
      <c r="H17" s="28"/>
      <c r="J17" s="46">
        <f>DATE(2026,9,3)</f>
        <v>46268</v>
      </c>
      <c r="K17" s="47">
        <f ca="1">_xlfn.DAYS(J17,TODAY())</f>
        <v>-13</v>
      </c>
    </row>
    <row r="18" spans="2:11" x14ac:dyDescent="0.4">
      <c r="B18" s="20" t="s">
        <v>103</v>
      </c>
      <c r="C18" s="1"/>
      <c r="D18" s="1"/>
      <c r="E18" s="1"/>
      <c r="F18" s="1"/>
      <c r="G18" s="1"/>
      <c r="H18" s="29"/>
    </row>
    <row r="19" spans="2:11" ht="42" customHeight="1" x14ac:dyDescent="0.4">
      <c r="B19" s="20" t="s">
        <v>105</v>
      </c>
      <c r="C19" s="1"/>
      <c r="D19" s="1"/>
      <c r="E19" s="1"/>
      <c r="F19" s="1"/>
      <c r="G19" s="1"/>
      <c r="H19" s="29"/>
    </row>
    <row r="20" spans="2:11" x14ac:dyDescent="0.4">
      <c r="B20" s="94" t="s">
        <v>106</v>
      </c>
      <c r="C20" s="1"/>
      <c r="D20" s="1"/>
      <c r="E20" s="1"/>
      <c r="F20" s="1"/>
      <c r="G20" s="1"/>
      <c r="H20" s="29"/>
    </row>
    <row r="21" spans="2:11" x14ac:dyDescent="0.4">
      <c r="B21" s="94" t="s">
        <v>103</v>
      </c>
      <c r="C21" s="95"/>
      <c r="D21" s="95"/>
      <c r="E21" s="95"/>
      <c r="F21" s="95"/>
      <c r="G21" s="95"/>
      <c r="H21" s="96"/>
    </row>
    <row r="22" spans="2:11" x14ac:dyDescent="0.4">
      <c r="B22" s="94" t="s">
        <v>107</v>
      </c>
      <c r="C22" s="1"/>
      <c r="D22" s="1"/>
      <c r="E22" s="1"/>
      <c r="F22" s="1"/>
      <c r="G22" s="1"/>
      <c r="H22" s="29"/>
    </row>
    <row r="23" spans="2:11" x14ac:dyDescent="0.4">
      <c r="B23" s="27" t="s">
        <v>109</v>
      </c>
      <c r="C23" s="1"/>
      <c r="D23" s="1"/>
      <c r="E23" s="1"/>
      <c r="F23" s="1"/>
      <c r="G23" s="1" t="s">
        <v>10</v>
      </c>
      <c r="H23" s="29" t="s">
        <v>108</v>
      </c>
    </row>
    <row r="24" spans="2:11" x14ac:dyDescent="0.4">
      <c r="B24" s="27" t="s">
        <v>143</v>
      </c>
      <c r="C24" s="1"/>
      <c r="D24" s="1"/>
      <c r="E24" s="1"/>
      <c r="F24" s="1"/>
      <c r="G24" s="1"/>
      <c r="H24" s="29"/>
    </row>
    <row r="25" spans="2:11" x14ac:dyDescent="0.4">
      <c r="B25" s="27"/>
      <c r="C25" s="1"/>
      <c r="D25" s="1"/>
      <c r="E25" s="1"/>
      <c r="F25" s="1"/>
      <c r="G25" s="1"/>
      <c r="H25" s="29"/>
    </row>
    <row r="26" spans="2:11" x14ac:dyDescent="0.4">
      <c r="B26" s="62"/>
      <c r="C26" s="1"/>
      <c r="D26" s="1"/>
      <c r="E26" s="1"/>
      <c r="F26" s="1"/>
      <c r="G26" s="1"/>
      <c r="H26" s="29"/>
    </row>
    <row r="27" spans="2:11" ht="19.5" thickBot="1" x14ac:dyDescent="0.45">
      <c r="B27" s="71"/>
      <c r="C27" s="72"/>
      <c r="D27" s="11"/>
      <c r="E27" s="11"/>
      <c r="F27" s="11"/>
      <c r="G27" s="1"/>
      <c r="H27" s="31"/>
    </row>
    <row r="28" spans="2:11" ht="19.5" thickBot="1" x14ac:dyDescent="0.45">
      <c r="B28" s="63" t="s">
        <v>32</v>
      </c>
      <c r="C28" s="64"/>
      <c r="D28" s="64"/>
      <c r="E28" s="64"/>
      <c r="F28" s="1" t="s">
        <v>18</v>
      </c>
      <c r="G28" s="64" t="s">
        <v>17</v>
      </c>
      <c r="H28" s="65"/>
    </row>
    <row r="29" spans="2:11" ht="19.5" thickBot="1" x14ac:dyDescent="0.45">
      <c r="B29" s="66" t="s">
        <v>117</v>
      </c>
      <c r="C29" s="1"/>
      <c r="D29" s="1"/>
      <c r="E29" s="1" t="s">
        <v>11</v>
      </c>
      <c r="F29" s="1" t="s">
        <v>18</v>
      </c>
      <c r="G29" s="64" t="s">
        <v>17</v>
      </c>
      <c r="H29" s="29" t="s">
        <v>147</v>
      </c>
    </row>
    <row r="30" spans="2:11" ht="19.5" thickBot="1" x14ac:dyDescent="0.45">
      <c r="B30" s="66" t="s">
        <v>33</v>
      </c>
      <c r="C30" s="1"/>
      <c r="D30" s="1"/>
      <c r="E30" s="1" t="s">
        <v>11</v>
      </c>
      <c r="F30" s="1" t="s">
        <v>18</v>
      </c>
      <c r="G30" s="64" t="s">
        <v>17</v>
      </c>
      <c r="H30" s="67"/>
    </row>
    <row r="31" spans="2:11" ht="19.5" thickBot="1" x14ac:dyDescent="0.45">
      <c r="B31" s="66" t="s">
        <v>34</v>
      </c>
      <c r="C31" s="1"/>
      <c r="D31" s="1"/>
      <c r="E31" s="1" t="s">
        <v>11</v>
      </c>
      <c r="F31" s="1" t="s">
        <v>18</v>
      </c>
      <c r="G31" s="64" t="s">
        <v>17</v>
      </c>
      <c r="H31" s="67"/>
    </row>
    <row r="32" spans="2:11" ht="19.5" thickBot="1" x14ac:dyDescent="0.45">
      <c r="B32" s="68" t="s">
        <v>35</v>
      </c>
      <c r="C32" s="69"/>
      <c r="D32" s="69"/>
      <c r="E32" s="1" t="s">
        <v>11</v>
      </c>
      <c r="F32" s="1" t="s">
        <v>18</v>
      </c>
      <c r="G32" s="64" t="s">
        <v>17</v>
      </c>
      <c r="H32" s="70"/>
    </row>
    <row r="33" spans="2:8" x14ac:dyDescent="0.4">
      <c r="B33" s="73" t="s">
        <v>36</v>
      </c>
      <c r="C33" s="6"/>
      <c r="D33" s="6"/>
      <c r="E33" s="6"/>
      <c r="F33" s="6"/>
      <c r="G33" s="6" t="s">
        <v>20</v>
      </c>
      <c r="H33" s="74"/>
    </row>
    <row r="34" spans="2:8" x14ac:dyDescent="0.4">
      <c r="B34" s="21" t="s">
        <v>125</v>
      </c>
      <c r="C34" s="1"/>
      <c r="D34" s="1"/>
      <c r="E34" s="1"/>
      <c r="F34" s="1"/>
      <c r="G34" s="1"/>
      <c r="H34" s="29"/>
    </row>
    <row r="35" spans="2:8" x14ac:dyDescent="0.4">
      <c r="B35" s="21" t="s">
        <v>126</v>
      </c>
      <c r="C35" s="1"/>
      <c r="D35" s="1"/>
      <c r="E35" s="1"/>
      <c r="F35" s="1"/>
      <c r="G35" s="1"/>
      <c r="H35" s="29"/>
    </row>
    <row r="36" spans="2:8" x14ac:dyDescent="0.4">
      <c r="B36" s="21" t="s">
        <v>110</v>
      </c>
      <c r="C36" s="1"/>
      <c r="D36" s="1"/>
      <c r="E36" s="1"/>
      <c r="F36" s="1"/>
      <c r="G36" s="51"/>
      <c r="H36" s="29"/>
    </row>
    <row r="37" spans="2:8" x14ac:dyDescent="0.4">
      <c r="B37" s="21" t="s">
        <v>111</v>
      </c>
      <c r="C37" s="1"/>
      <c r="D37" s="1"/>
      <c r="E37" s="1"/>
      <c r="F37" s="1"/>
      <c r="G37" s="51"/>
      <c r="H37" s="29"/>
    </row>
    <row r="38" spans="2:8" ht="19.5" thickBot="1" x14ac:dyDescent="0.45">
      <c r="B38" s="75" t="s">
        <v>112</v>
      </c>
      <c r="C38" s="1"/>
      <c r="D38" s="1"/>
      <c r="E38" s="1"/>
      <c r="F38" s="1"/>
      <c r="G38" s="1"/>
      <c r="H38" s="29"/>
    </row>
    <row r="39" spans="2:8" x14ac:dyDescent="0.4">
      <c r="B39" s="22" t="s">
        <v>37</v>
      </c>
      <c r="C39" s="8"/>
      <c r="D39" s="8"/>
      <c r="E39" s="8"/>
      <c r="F39" s="1" t="s">
        <v>18</v>
      </c>
      <c r="G39" s="8" t="s">
        <v>10</v>
      </c>
      <c r="H39" s="28"/>
    </row>
    <row r="40" spans="2:8" x14ac:dyDescent="0.4">
      <c r="B40" s="23" t="s">
        <v>34</v>
      </c>
      <c r="C40" s="1">
        <v>0.5</v>
      </c>
      <c r="D40" s="1"/>
      <c r="E40" s="1" t="s">
        <v>11</v>
      </c>
      <c r="F40" s="1" t="s">
        <v>18</v>
      </c>
      <c r="G40" s="1" t="s">
        <v>17</v>
      </c>
      <c r="H40" s="29"/>
    </row>
    <row r="41" spans="2:8" x14ac:dyDescent="0.4">
      <c r="B41" s="23" t="s">
        <v>38</v>
      </c>
      <c r="C41" s="1">
        <v>0.5</v>
      </c>
      <c r="D41" s="1"/>
      <c r="E41" s="1" t="s">
        <v>11</v>
      </c>
      <c r="F41" s="1" t="s">
        <v>18</v>
      </c>
      <c r="G41" s="1" t="s">
        <v>17</v>
      </c>
      <c r="H41" s="29"/>
    </row>
    <row r="42" spans="2:8" ht="19.5" thickBot="1" x14ac:dyDescent="0.45">
      <c r="B42" s="24" t="s">
        <v>113</v>
      </c>
      <c r="C42" s="1">
        <v>0.5</v>
      </c>
      <c r="D42" s="4"/>
      <c r="E42" s="1" t="s">
        <v>11</v>
      </c>
      <c r="F42" s="1" t="s">
        <v>18</v>
      </c>
      <c r="G42" s="1" t="s">
        <v>17</v>
      </c>
      <c r="H42" s="30"/>
    </row>
    <row r="43" spans="2:8" x14ac:dyDescent="0.4">
      <c r="B43" s="25" t="s">
        <v>39</v>
      </c>
      <c r="C43" s="8"/>
      <c r="D43" s="8"/>
      <c r="E43" s="8"/>
      <c r="F43" s="1" t="s">
        <v>18</v>
      </c>
      <c r="G43" s="1" t="s">
        <v>17</v>
      </c>
      <c r="H43" s="28"/>
    </row>
    <row r="44" spans="2:8" x14ac:dyDescent="0.4">
      <c r="B44" s="26"/>
      <c r="C44" s="1"/>
      <c r="D44" s="1"/>
      <c r="E44" s="1"/>
      <c r="F44" s="1"/>
      <c r="G44" s="1"/>
      <c r="H44" s="29"/>
    </row>
    <row r="45" spans="2:8" x14ac:dyDescent="0.4">
      <c r="B45" s="26"/>
      <c r="C45" s="1"/>
      <c r="D45" s="1"/>
      <c r="E45" s="1"/>
      <c r="F45" s="1"/>
      <c r="G45" s="1"/>
      <c r="H45" s="29"/>
    </row>
    <row r="46" spans="2:8" x14ac:dyDescent="0.4">
      <c r="B46" s="26"/>
      <c r="C46" s="1"/>
      <c r="D46" s="1"/>
      <c r="E46" s="1"/>
      <c r="F46" s="1"/>
      <c r="G46" s="1"/>
      <c r="H46" s="29"/>
    </row>
    <row r="47" spans="2:8" x14ac:dyDescent="0.4">
      <c r="B47" s="26"/>
      <c r="C47" s="1"/>
      <c r="D47" s="1"/>
      <c r="E47" s="1"/>
      <c r="F47" s="1"/>
      <c r="G47" s="1"/>
      <c r="H47" s="29"/>
    </row>
    <row r="48" spans="2:8" x14ac:dyDescent="0.4">
      <c r="B48" s="26"/>
      <c r="C48" s="1"/>
      <c r="D48" s="1"/>
      <c r="E48" s="1"/>
      <c r="F48" s="1"/>
      <c r="G48" s="1"/>
      <c r="H48" s="29"/>
    </row>
    <row r="49" spans="2:8" x14ac:dyDescent="0.4">
      <c r="B49" s="26"/>
      <c r="C49" s="1"/>
      <c r="D49" s="1"/>
      <c r="E49" s="1"/>
      <c r="F49" s="1"/>
      <c r="G49" s="1"/>
      <c r="H49" s="29"/>
    </row>
    <row r="50" spans="2:8" x14ac:dyDescent="0.4">
      <c r="B50" s="26"/>
      <c r="C50" s="1"/>
      <c r="D50" s="1"/>
      <c r="E50" s="1"/>
      <c r="F50" s="1"/>
      <c r="G50" s="1"/>
      <c r="H50" s="29"/>
    </row>
    <row r="51" spans="2:8" x14ac:dyDescent="0.4">
      <c r="B51" s="26"/>
      <c r="C51" s="1"/>
      <c r="D51" s="1"/>
      <c r="E51" s="1"/>
      <c r="F51" s="1"/>
      <c r="G51" s="1"/>
      <c r="H51" s="29"/>
    </row>
    <row r="52" spans="2:8" x14ac:dyDescent="0.4">
      <c r="B52" s="26"/>
      <c r="C52" s="1"/>
      <c r="D52" s="1"/>
      <c r="E52" s="1"/>
      <c r="F52" s="1"/>
      <c r="G52" s="1"/>
      <c r="H52" s="29"/>
    </row>
    <row r="53" spans="2:8" x14ac:dyDescent="0.4">
      <c r="B53" s="26"/>
      <c r="C53" s="1"/>
      <c r="D53" s="1"/>
      <c r="E53" s="1"/>
      <c r="F53" s="1"/>
      <c r="G53" s="1"/>
      <c r="H53" s="29"/>
    </row>
    <row r="54" spans="2:8" x14ac:dyDescent="0.4">
      <c r="B54" s="26"/>
      <c r="C54" s="1"/>
      <c r="D54" s="1"/>
      <c r="E54" s="1"/>
      <c r="F54" s="1"/>
      <c r="G54" s="1"/>
      <c r="H54" s="29"/>
    </row>
    <row r="55" spans="2:8" x14ac:dyDescent="0.4">
      <c r="B55" s="26"/>
      <c r="C55" s="1"/>
      <c r="D55" s="1"/>
      <c r="E55" s="1"/>
      <c r="F55" s="1"/>
      <c r="G55" s="1"/>
      <c r="H55" s="29"/>
    </row>
    <row r="56" spans="2:8" x14ac:dyDescent="0.4">
      <c r="B56" s="26"/>
      <c r="C56" s="1"/>
      <c r="D56" s="1"/>
      <c r="E56" s="1"/>
      <c r="F56" s="1"/>
      <c r="G56" s="1"/>
      <c r="H56" s="29"/>
    </row>
    <row r="57" spans="2:8" x14ac:dyDescent="0.4">
      <c r="B57" s="26"/>
      <c r="C57" s="1"/>
      <c r="D57" s="1"/>
      <c r="E57" s="1"/>
      <c r="F57" s="1"/>
      <c r="G57" s="1"/>
      <c r="H57" s="29"/>
    </row>
    <row r="58" spans="2:8" x14ac:dyDescent="0.4">
      <c r="B58" s="26"/>
      <c r="C58" s="1"/>
      <c r="D58" s="1"/>
      <c r="E58" s="1"/>
      <c r="F58" s="1"/>
      <c r="G58" s="1"/>
      <c r="H58" s="29"/>
    </row>
    <row r="59" spans="2:8" x14ac:dyDescent="0.4">
      <c r="B59" s="26"/>
      <c r="C59" s="1"/>
      <c r="D59" s="1"/>
      <c r="E59" s="1"/>
      <c r="F59" s="1"/>
      <c r="G59" s="1"/>
      <c r="H59" s="29"/>
    </row>
    <row r="60" spans="2:8" ht="19.5" thickBot="1" x14ac:dyDescent="0.45">
      <c r="B60" s="36"/>
      <c r="C60" s="4"/>
      <c r="D60" s="4"/>
      <c r="E60" s="4"/>
      <c r="F60" s="4"/>
      <c r="G60" s="4"/>
      <c r="H60" s="30"/>
    </row>
    <row r="61" spans="2:8" x14ac:dyDescent="0.4">
      <c r="B61" s="13" t="s">
        <v>40</v>
      </c>
      <c r="C61" s="8"/>
      <c r="D61" s="8"/>
      <c r="E61" s="8"/>
      <c r="F61" s="1" t="s">
        <v>18</v>
      </c>
      <c r="G61" s="1" t="s">
        <v>17</v>
      </c>
      <c r="H61" s="9"/>
    </row>
    <row r="62" spans="2:8" x14ac:dyDescent="0.4">
      <c r="B62" s="14" t="s">
        <v>122</v>
      </c>
      <c r="C62" s="1"/>
      <c r="D62" s="1"/>
      <c r="E62" s="1"/>
      <c r="F62" s="1"/>
      <c r="G62" s="1"/>
      <c r="H62" s="3"/>
    </row>
    <row r="63" spans="2:8" x14ac:dyDescent="0.4">
      <c r="B63" s="14"/>
      <c r="C63" s="1"/>
      <c r="D63" s="1"/>
      <c r="E63" s="1"/>
      <c r="F63" s="1"/>
      <c r="G63" s="1"/>
      <c r="H63" s="3"/>
    </row>
    <row r="64" spans="2:8" x14ac:dyDescent="0.4">
      <c r="B64" s="14"/>
      <c r="C64" s="1"/>
      <c r="D64" s="1"/>
      <c r="E64" s="1"/>
      <c r="F64" s="1"/>
      <c r="G64" s="1"/>
      <c r="H64" s="3"/>
    </row>
    <row r="65" spans="2:8" x14ac:dyDescent="0.4">
      <c r="B65" s="14"/>
      <c r="C65" s="1"/>
      <c r="D65" s="1"/>
      <c r="E65" s="1"/>
      <c r="F65" s="1"/>
      <c r="G65" s="1"/>
      <c r="H65" s="3"/>
    </row>
    <row r="66" spans="2:8" x14ac:dyDescent="0.4">
      <c r="B66" s="14"/>
      <c r="C66" s="1"/>
      <c r="D66" s="1"/>
      <c r="E66" s="1"/>
      <c r="F66" s="1"/>
      <c r="G66" s="1"/>
      <c r="H66" s="3"/>
    </row>
    <row r="67" spans="2:8" x14ac:dyDescent="0.4">
      <c r="B67" s="14"/>
      <c r="C67" s="1"/>
      <c r="D67" s="1"/>
      <c r="E67" s="1"/>
      <c r="F67" s="1"/>
      <c r="G67" s="1"/>
      <c r="H67" s="3"/>
    </row>
    <row r="68" spans="2:8" ht="19.5" thickBot="1" x14ac:dyDescent="0.45">
      <c r="B68" s="56"/>
      <c r="C68" s="4"/>
      <c r="D68" s="4"/>
      <c r="E68" s="4"/>
      <c r="F68" s="4"/>
      <c r="G68" s="4"/>
      <c r="H68" s="5"/>
    </row>
    <row r="69" spans="2:8" x14ac:dyDescent="0.4">
      <c r="B69" s="57" t="s">
        <v>41</v>
      </c>
      <c r="C69" s="58"/>
      <c r="D69" s="58"/>
      <c r="E69" s="58"/>
      <c r="F69" s="58"/>
      <c r="G69" s="1" t="s">
        <v>17</v>
      </c>
      <c r="H69" s="59"/>
    </row>
    <row r="70" spans="2:8" x14ac:dyDescent="0.4">
      <c r="B70" s="60" t="s">
        <v>114</v>
      </c>
      <c r="C70" s="11"/>
      <c r="D70" s="11"/>
      <c r="E70" s="11"/>
      <c r="F70" s="11"/>
      <c r="G70" s="11"/>
      <c r="H70" s="12"/>
    </row>
    <row r="71" spans="2:8" x14ac:dyDescent="0.4">
      <c r="B71" s="60" t="s">
        <v>115</v>
      </c>
      <c r="C71" s="11"/>
      <c r="D71" s="11"/>
      <c r="E71" s="11"/>
      <c r="F71" s="11"/>
      <c r="G71" s="11"/>
      <c r="H71" s="12"/>
    </row>
    <row r="72" spans="2:8" x14ac:dyDescent="0.4">
      <c r="B72" s="60" t="s">
        <v>116</v>
      </c>
      <c r="C72" s="11"/>
      <c r="D72" s="11"/>
      <c r="E72" s="11"/>
      <c r="F72" s="11"/>
      <c r="G72" s="11"/>
      <c r="H72" s="12"/>
    </row>
    <row r="73" spans="2:8" x14ac:dyDescent="0.4">
      <c r="B73" s="60" t="s">
        <v>144</v>
      </c>
      <c r="C73" s="11"/>
      <c r="D73" s="11"/>
      <c r="E73" s="11"/>
      <c r="F73" s="11"/>
      <c r="G73" s="11"/>
      <c r="H73" s="12"/>
    </row>
    <row r="74" spans="2:8" ht="19.5" thickBot="1" x14ac:dyDescent="0.45">
      <c r="B74" s="60" t="s">
        <v>145</v>
      </c>
      <c r="C74" s="11"/>
      <c r="D74" s="11"/>
      <c r="E74" s="11"/>
      <c r="F74" s="11"/>
      <c r="G74" s="11"/>
      <c r="H74" s="12"/>
    </row>
    <row r="75" spans="2:8" x14ac:dyDescent="0.4">
      <c r="B75" s="78" t="s">
        <v>42</v>
      </c>
      <c r="C75" s="76"/>
      <c r="D75" s="76"/>
      <c r="E75" s="76"/>
      <c r="F75" s="76"/>
      <c r="G75" s="64" t="s">
        <v>10</v>
      </c>
      <c r="H75" s="77"/>
    </row>
    <row r="76" spans="2:8" x14ac:dyDescent="0.4">
      <c r="B76" s="79" t="s">
        <v>43</v>
      </c>
      <c r="C76" s="1">
        <v>6</v>
      </c>
      <c r="D76" s="1"/>
      <c r="E76" s="1" t="s">
        <v>31</v>
      </c>
      <c r="F76" s="1" t="s">
        <v>28</v>
      </c>
      <c r="G76" s="1" t="s">
        <v>10</v>
      </c>
      <c r="H76" s="67"/>
    </row>
    <row r="77" spans="2:8" ht="19.5" thickBot="1" x14ac:dyDescent="0.45">
      <c r="B77" s="81" t="s">
        <v>44</v>
      </c>
      <c r="C77" s="69">
        <v>2</v>
      </c>
      <c r="D77" s="69"/>
      <c r="E77" s="69" t="s">
        <v>31</v>
      </c>
      <c r="F77" s="69" t="s">
        <v>12</v>
      </c>
      <c r="G77" s="1" t="s">
        <v>10</v>
      </c>
      <c r="H77" s="70"/>
    </row>
    <row r="78" spans="2:8" x14ac:dyDescent="0.4">
      <c r="B78" s="97" t="s">
        <v>118</v>
      </c>
      <c r="C78" s="1"/>
      <c r="D78" s="1"/>
      <c r="E78" s="1"/>
      <c r="F78" s="1"/>
      <c r="G78" s="1"/>
      <c r="H78" s="29"/>
    </row>
    <row r="79" spans="2:8" x14ac:dyDescent="0.4">
      <c r="B79" s="97" t="s">
        <v>119</v>
      </c>
      <c r="C79" s="1"/>
      <c r="D79" s="1"/>
      <c r="E79" s="1"/>
      <c r="F79" s="1"/>
      <c r="G79" s="1"/>
      <c r="H79" s="29"/>
    </row>
    <row r="80" spans="2:8" x14ac:dyDescent="0.4">
      <c r="B80" s="97" t="s">
        <v>120</v>
      </c>
      <c r="C80" s="1"/>
      <c r="D80" s="1"/>
      <c r="E80" s="1"/>
      <c r="F80" s="1"/>
      <c r="G80" s="1"/>
      <c r="H80" s="29"/>
    </row>
    <row r="81" spans="2:8" x14ac:dyDescent="0.4">
      <c r="B81" s="97" t="s">
        <v>121</v>
      </c>
      <c r="C81" s="1"/>
      <c r="D81" s="1"/>
      <c r="E81" s="1"/>
      <c r="F81" s="1"/>
      <c r="G81" s="1"/>
      <c r="H81" s="29"/>
    </row>
    <row r="82" spans="2:8" x14ac:dyDescent="0.4">
      <c r="B82" s="80" t="s">
        <v>45</v>
      </c>
      <c r="C82" s="54"/>
      <c r="D82" s="54"/>
      <c r="E82" s="54"/>
      <c r="F82" s="54"/>
      <c r="G82" s="54" t="s">
        <v>10</v>
      </c>
      <c r="H82" s="55"/>
    </row>
    <row r="83" spans="2:8" x14ac:dyDescent="0.4">
      <c r="B83" s="61"/>
      <c r="C83" s="11"/>
      <c r="D83" s="11"/>
      <c r="E83" s="11"/>
      <c r="F83" s="11"/>
      <c r="G83" s="11"/>
      <c r="H83" s="31"/>
    </row>
    <row r="84" spans="2:8" x14ac:dyDescent="0.4">
      <c r="B84" s="61"/>
      <c r="C84" s="11"/>
      <c r="D84" s="11"/>
      <c r="E84" s="11"/>
      <c r="F84" s="11"/>
      <c r="G84" s="11"/>
      <c r="H84" s="31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127</v>
      </c>
    </row>
    <row r="4" spans="1:10" x14ac:dyDescent="0.4">
      <c r="A4" s="1" t="s">
        <v>132</v>
      </c>
      <c r="B4" s="1" t="s">
        <v>133</v>
      </c>
      <c r="C4" s="1" t="s">
        <v>134</v>
      </c>
      <c r="D4" s="1" t="s">
        <v>135</v>
      </c>
      <c r="E4" s="1" t="s">
        <v>136</v>
      </c>
      <c r="F4" s="1" t="s">
        <v>137</v>
      </c>
      <c r="G4" s="1" t="s">
        <v>138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1">
        <f t="shared" si="0"/>
        <v>18</v>
      </c>
      <c r="G7" s="1">
        <f t="shared" si="0"/>
        <v>19</v>
      </c>
      <c r="I7" t="s">
        <v>139</v>
      </c>
      <c r="J7" s="100"/>
    </row>
    <row r="8" spans="1:10" x14ac:dyDescent="0.4">
      <c r="A8" s="1">
        <f>G7+1</f>
        <v>20</v>
      </c>
      <c r="B8" s="1">
        <f t="shared" si="1"/>
        <v>21</v>
      </c>
      <c r="C8" s="1">
        <f t="shared" si="1"/>
        <v>22</v>
      </c>
      <c r="D8" s="1">
        <f t="shared" si="0"/>
        <v>23</v>
      </c>
      <c r="E8" s="1">
        <f t="shared" si="0"/>
        <v>24</v>
      </c>
      <c r="F8" s="1">
        <f t="shared" si="0"/>
        <v>25</v>
      </c>
      <c r="G8" s="1">
        <f t="shared" si="0"/>
        <v>26</v>
      </c>
      <c r="I8" t="s">
        <v>28</v>
      </c>
      <c r="J8" s="101"/>
    </row>
    <row r="9" spans="1:10" x14ac:dyDescent="0.4">
      <c r="A9" s="1">
        <f>G8+1</f>
        <v>27</v>
      </c>
      <c r="B9" s="1">
        <f t="shared" si="1"/>
        <v>28</v>
      </c>
      <c r="C9" s="1">
        <f t="shared" si="1"/>
        <v>29</v>
      </c>
      <c r="D9" s="1">
        <f>C9+1</f>
        <v>30</v>
      </c>
      <c r="E9" s="1"/>
      <c r="F9" s="1"/>
      <c r="G9" s="1"/>
      <c r="I9" t="s">
        <v>140</v>
      </c>
      <c r="J9" s="102"/>
    </row>
    <row r="11" spans="1:10" x14ac:dyDescent="0.4">
      <c r="A11" t="s">
        <v>128</v>
      </c>
      <c r="I11" t="s">
        <v>141</v>
      </c>
      <c r="J11" s="98"/>
    </row>
    <row r="12" spans="1:10" x14ac:dyDescent="0.4">
      <c r="A12" s="1" t="s">
        <v>132</v>
      </c>
      <c r="B12" s="1" t="s">
        <v>133</v>
      </c>
      <c r="C12" s="1" t="s">
        <v>134</v>
      </c>
      <c r="D12" s="1" t="s">
        <v>135</v>
      </c>
      <c r="E12" s="1" t="s">
        <v>136</v>
      </c>
      <c r="F12" s="1" t="s">
        <v>137</v>
      </c>
      <c r="G12" s="1" t="s">
        <v>138</v>
      </c>
      <c r="I12" t="s">
        <v>142</v>
      </c>
      <c r="J12" s="99"/>
    </row>
    <row r="13" spans="1:10" x14ac:dyDescent="0.4">
      <c r="A13" s="1"/>
      <c r="B13" s="1"/>
      <c r="C13" s="1"/>
      <c r="D13" s="1"/>
      <c r="E13" s="1">
        <v>1</v>
      </c>
      <c r="F13" s="1">
        <f t="shared" ref="F13:G17" si="2">E13+1</f>
        <v>2</v>
      </c>
      <c r="G13" s="1">
        <f t="shared" si="2"/>
        <v>3</v>
      </c>
    </row>
    <row r="14" spans="1:10" x14ac:dyDescent="0.4">
      <c r="A14" s="1">
        <f>G13+1</f>
        <v>4</v>
      </c>
      <c r="B14" s="1">
        <f t="shared" ref="B14:E17" si="3">A14+1</f>
        <v>5</v>
      </c>
      <c r="C14" s="1">
        <f t="shared" si="3"/>
        <v>6</v>
      </c>
      <c r="D14" s="1">
        <f t="shared" si="3"/>
        <v>7</v>
      </c>
      <c r="E14" s="1">
        <f t="shared" si="3"/>
        <v>8</v>
      </c>
      <c r="F14" s="1">
        <f t="shared" si="2"/>
        <v>9</v>
      </c>
      <c r="G14" s="1">
        <f t="shared" si="2"/>
        <v>10</v>
      </c>
    </row>
    <row r="15" spans="1:10" x14ac:dyDescent="0.4">
      <c r="A15" s="1">
        <f>G14+1</f>
        <v>11</v>
      </c>
      <c r="B15" s="1">
        <f t="shared" si="3"/>
        <v>12</v>
      </c>
      <c r="C15" s="1">
        <f t="shared" si="3"/>
        <v>13</v>
      </c>
      <c r="D15" s="1">
        <f t="shared" si="3"/>
        <v>14</v>
      </c>
      <c r="E15" s="1">
        <f t="shared" si="3"/>
        <v>15</v>
      </c>
      <c r="F15" s="1">
        <f t="shared" si="2"/>
        <v>16</v>
      </c>
      <c r="G15" s="1">
        <f t="shared" si="2"/>
        <v>17</v>
      </c>
    </row>
    <row r="16" spans="1:10" x14ac:dyDescent="0.4">
      <c r="A16" s="1">
        <f>G15+1</f>
        <v>18</v>
      </c>
      <c r="B16" s="1">
        <f t="shared" si="3"/>
        <v>19</v>
      </c>
      <c r="C16" s="1">
        <f t="shared" si="3"/>
        <v>20</v>
      </c>
      <c r="D16" s="1">
        <f t="shared" si="3"/>
        <v>21</v>
      </c>
      <c r="E16" s="1">
        <f t="shared" si="3"/>
        <v>22</v>
      </c>
      <c r="F16" s="1">
        <f t="shared" si="2"/>
        <v>23</v>
      </c>
      <c r="G16" s="1">
        <f t="shared" si="2"/>
        <v>24</v>
      </c>
    </row>
    <row r="17" spans="1:7" x14ac:dyDescent="0.4">
      <c r="A17" s="1">
        <f>G16+1</f>
        <v>25</v>
      </c>
      <c r="B17" s="1">
        <f t="shared" si="3"/>
        <v>26</v>
      </c>
      <c r="C17" s="1">
        <f t="shared" si="3"/>
        <v>27</v>
      </c>
      <c r="D17" s="1">
        <f t="shared" si="3"/>
        <v>28</v>
      </c>
      <c r="E17" s="1">
        <f t="shared" si="3"/>
        <v>29</v>
      </c>
      <c r="F17" s="1">
        <f t="shared" si="2"/>
        <v>30</v>
      </c>
      <c r="G17" s="1">
        <f t="shared" si="2"/>
        <v>31</v>
      </c>
    </row>
    <row r="19" spans="1:7" x14ac:dyDescent="0.4">
      <c r="A19" t="s">
        <v>129</v>
      </c>
    </row>
    <row r="20" spans="1:7" x14ac:dyDescent="0.4">
      <c r="A20" s="1" t="s">
        <v>132</v>
      </c>
      <c r="B20" s="1" t="s">
        <v>133</v>
      </c>
      <c r="C20" s="1" t="s">
        <v>134</v>
      </c>
      <c r="D20" s="1" t="s">
        <v>135</v>
      </c>
      <c r="E20" s="1" t="s">
        <v>136</v>
      </c>
      <c r="F20" s="1" t="s">
        <v>137</v>
      </c>
      <c r="G20" s="1" t="s">
        <v>138</v>
      </c>
    </row>
    <row r="21" spans="1:7" x14ac:dyDescent="0.4">
      <c r="A21" s="1">
        <v>1</v>
      </c>
      <c r="B21" s="1">
        <f t="shared" ref="B21:G24" si="4">A21+1</f>
        <v>2</v>
      </c>
      <c r="C21" s="1">
        <f t="shared" si="4"/>
        <v>3</v>
      </c>
      <c r="D21" s="1">
        <f t="shared" si="4"/>
        <v>4</v>
      </c>
      <c r="E21" s="1">
        <f t="shared" si="4"/>
        <v>5</v>
      </c>
      <c r="F21" s="1">
        <f t="shared" si="4"/>
        <v>6</v>
      </c>
      <c r="G21" s="1">
        <f t="shared" si="4"/>
        <v>7</v>
      </c>
    </row>
    <row r="22" spans="1:7" x14ac:dyDescent="0.4">
      <c r="A22" s="1">
        <f>G21+1</f>
        <v>8</v>
      </c>
      <c r="B22" s="1">
        <f t="shared" si="4"/>
        <v>9</v>
      </c>
      <c r="C22" s="1">
        <f t="shared" si="4"/>
        <v>10</v>
      </c>
      <c r="D22" s="1">
        <f t="shared" si="4"/>
        <v>11</v>
      </c>
      <c r="E22" s="1">
        <f t="shared" si="4"/>
        <v>12</v>
      </c>
      <c r="F22" s="1">
        <f t="shared" si="4"/>
        <v>13</v>
      </c>
      <c r="G22" s="1">
        <f t="shared" si="4"/>
        <v>14</v>
      </c>
    </row>
    <row r="23" spans="1:7" x14ac:dyDescent="0.4">
      <c r="A23" s="1">
        <f>G22+1</f>
        <v>15</v>
      </c>
      <c r="B23" s="1">
        <f t="shared" si="4"/>
        <v>16</v>
      </c>
      <c r="C23" s="1">
        <f t="shared" si="4"/>
        <v>17</v>
      </c>
      <c r="D23" s="1">
        <f t="shared" si="4"/>
        <v>18</v>
      </c>
      <c r="E23" s="1">
        <f t="shared" si="4"/>
        <v>19</v>
      </c>
      <c r="F23" s="1">
        <f t="shared" si="4"/>
        <v>20</v>
      </c>
      <c r="G23" s="1">
        <f t="shared" si="4"/>
        <v>21</v>
      </c>
    </row>
    <row r="24" spans="1:7" x14ac:dyDescent="0.4">
      <c r="A24" s="1">
        <f>G23+1</f>
        <v>22</v>
      </c>
      <c r="B24" s="1">
        <f t="shared" si="4"/>
        <v>23</v>
      </c>
      <c r="C24" s="1">
        <f t="shared" si="4"/>
        <v>24</v>
      </c>
      <c r="D24" s="1">
        <f t="shared" si="4"/>
        <v>25</v>
      </c>
      <c r="E24" s="1">
        <f t="shared" si="4"/>
        <v>26</v>
      </c>
      <c r="F24" s="1">
        <f t="shared" si="4"/>
        <v>27</v>
      </c>
      <c r="G24" s="1">
        <f t="shared" si="4"/>
        <v>28</v>
      </c>
    </row>
    <row r="25" spans="1:7" x14ac:dyDescent="0.4">
      <c r="A25" s="1">
        <f>G24+1</f>
        <v>29</v>
      </c>
      <c r="B25" s="1">
        <f>A25+1</f>
        <v>30</v>
      </c>
      <c r="C25" s="1"/>
      <c r="D25" s="1"/>
      <c r="E25" s="1"/>
      <c r="F25" s="1"/>
      <c r="G25" s="1"/>
    </row>
    <row r="27" spans="1:7" x14ac:dyDescent="0.4">
      <c r="A27" t="s">
        <v>130</v>
      </c>
    </row>
    <row r="28" spans="1:7" x14ac:dyDescent="0.4">
      <c r="A28" s="1" t="s">
        <v>132</v>
      </c>
      <c r="B28" s="1" t="s">
        <v>133</v>
      </c>
      <c r="C28" s="1" t="s">
        <v>134</v>
      </c>
      <c r="D28" s="1" t="s">
        <v>135</v>
      </c>
      <c r="E28" s="1" t="s">
        <v>136</v>
      </c>
      <c r="F28" s="1" t="s">
        <v>137</v>
      </c>
      <c r="G28" s="1" t="s">
        <v>138</v>
      </c>
    </row>
    <row r="29" spans="1:7" x14ac:dyDescent="0.4">
      <c r="A29" s="1"/>
      <c r="B29" s="1"/>
      <c r="C29" s="1">
        <v>1</v>
      </c>
      <c r="D29" s="1">
        <f t="shared" ref="D29:G32" si="5">C29+1</f>
        <v>2</v>
      </c>
      <c r="E29" s="1">
        <f t="shared" si="5"/>
        <v>3</v>
      </c>
      <c r="F29" s="1">
        <f t="shared" si="5"/>
        <v>4</v>
      </c>
      <c r="G29" s="1">
        <f t="shared" si="5"/>
        <v>5</v>
      </c>
    </row>
    <row r="30" spans="1:7" x14ac:dyDescent="0.4">
      <c r="A30" s="1">
        <f>G29+1</f>
        <v>6</v>
      </c>
      <c r="B30" s="1">
        <f t="shared" ref="B30:C33" si="6">A30+1</f>
        <v>7</v>
      </c>
      <c r="C30" s="1">
        <f t="shared" si="6"/>
        <v>8</v>
      </c>
      <c r="D30" s="1">
        <f t="shared" si="5"/>
        <v>9</v>
      </c>
      <c r="E30" s="1">
        <f t="shared" si="5"/>
        <v>10</v>
      </c>
      <c r="F30" s="1">
        <f t="shared" si="5"/>
        <v>11</v>
      </c>
      <c r="G30" s="1">
        <f t="shared" si="5"/>
        <v>12</v>
      </c>
    </row>
    <row r="31" spans="1:7" x14ac:dyDescent="0.4">
      <c r="A31" s="1">
        <f>G30+1</f>
        <v>13</v>
      </c>
      <c r="B31" s="1">
        <f t="shared" si="6"/>
        <v>14</v>
      </c>
      <c r="C31" s="1">
        <f t="shared" si="6"/>
        <v>15</v>
      </c>
      <c r="D31" s="1">
        <f t="shared" si="5"/>
        <v>16</v>
      </c>
      <c r="E31" s="1">
        <f t="shared" si="5"/>
        <v>17</v>
      </c>
      <c r="F31" s="1">
        <f t="shared" si="5"/>
        <v>18</v>
      </c>
      <c r="G31" s="1">
        <f t="shared" si="5"/>
        <v>19</v>
      </c>
    </row>
    <row r="32" spans="1:7" x14ac:dyDescent="0.4">
      <c r="A32" s="1">
        <f>G31+1</f>
        <v>20</v>
      </c>
      <c r="B32" s="1">
        <f t="shared" si="6"/>
        <v>21</v>
      </c>
      <c r="C32" s="1">
        <f t="shared" si="6"/>
        <v>22</v>
      </c>
      <c r="D32" s="1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1">
        <f>D33+1</f>
        <v>31</v>
      </c>
      <c r="F33" s="1"/>
      <c r="G33" s="1"/>
    </row>
    <row r="35" spans="1:7" x14ac:dyDescent="0.4">
      <c r="A35" t="s">
        <v>131</v>
      </c>
    </row>
    <row r="36" spans="1:7" x14ac:dyDescent="0.4">
      <c r="A36" s="1" t="s">
        <v>132</v>
      </c>
      <c r="B36" s="1" t="s">
        <v>133</v>
      </c>
      <c r="C36" s="1" t="s">
        <v>134</v>
      </c>
      <c r="D36" s="1" t="s">
        <v>135</v>
      </c>
      <c r="E36" s="1" t="s">
        <v>136</v>
      </c>
      <c r="F36" s="1" t="s">
        <v>137</v>
      </c>
      <c r="G36" s="1" t="s">
        <v>138</v>
      </c>
    </row>
    <row r="37" spans="1:7" x14ac:dyDescent="0.4">
      <c r="A37" s="1"/>
      <c r="B37" s="1"/>
      <c r="C37" s="1"/>
      <c r="D37" s="1"/>
      <c r="E37" s="1"/>
      <c r="F37" s="1">
        <v>1</v>
      </c>
      <c r="G37" s="1">
        <f>F37+1</f>
        <v>2</v>
      </c>
    </row>
    <row r="38" spans="1:7" x14ac:dyDescent="0.4">
      <c r="A38" s="1">
        <f>G37+1</f>
        <v>3</v>
      </c>
      <c r="B38" s="1">
        <f t="shared" ref="B38:F41" si="7">A38+1</f>
        <v>4</v>
      </c>
      <c r="C38" s="1">
        <f t="shared" si="7"/>
        <v>5</v>
      </c>
      <c r="D38" s="1">
        <f t="shared" si="7"/>
        <v>6</v>
      </c>
      <c r="E38" s="1">
        <f t="shared" si="7"/>
        <v>7</v>
      </c>
      <c r="F38" s="1">
        <f t="shared" si="7"/>
        <v>8</v>
      </c>
      <c r="G38" s="1">
        <f>F38+1</f>
        <v>9</v>
      </c>
    </row>
    <row r="39" spans="1:7" x14ac:dyDescent="0.4">
      <c r="A39" s="1">
        <f>G38+1</f>
        <v>10</v>
      </c>
      <c r="B39" s="1">
        <f t="shared" si="7"/>
        <v>11</v>
      </c>
      <c r="C39" s="1">
        <f t="shared" si="7"/>
        <v>12</v>
      </c>
      <c r="D39" s="1">
        <f t="shared" si="7"/>
        <v>13</v>
      </c>
      <c r="E39" s="1">
        <f t="shared" si="7"/>
        <v>14</v>
      </c>
      <c r="F39" s="1">
        <f t="shared" si="7"/>
        <v>15</v>
      </c>
      <c r="G39" s="1">
        <f>F39+1</f>
        <v>16</v>
      </c>
    </row>
    <row r="40" spans="1:7" x14ac:dyDescent="0.4">
      <c r="A40" s="1">
        <f>G39+1</f>
        <v>17</v>
      </c>
      <c r="B40" s="1">
        <f t="shared" si="7"/>
        <v>18</v>
      </c>
      <c r="C40" s="1">
        <f t="shared" si="7"/>
        <v>19</v>
      </c>
      <c r="D40" s="1">
        <f t="shared" si="7"/>
        <v>20</v>
      </c>
      <c r="E40" s="1">
        <f t="shared" si="7"/>
        <v>21</v>
      </c>
      <c r="F40" s="1">
        <f t="shared" si="7"/>
        <v>22</v>
      </c>
      <c r="G40" s="1">
        <f>F40+1</f>
        <v>23</v>
      </c>
    </row>
    <row r="41" spans="1:7" x14ac:dyDescent="0.4">
      <c r="A41" s="1">
        <f>G40+1</f>
        <v>24</v>
      </c>
      <c r="B41" s="1">
        <f t="shared" si="7"/>
        <v>25</v>
      </c>
      <c r="C41" s="1">
        <f t="shared" si="7"/>
        <v>26</v>
      </c>
      <c r="D41" s="1">
        <f t="shared" si="7"/>
        <v>27</v>
      </c>
      <c r="E41" s="1">
        <f t="shared" si="7"/>
        <v>28</v>
      </c>
      <c r="F41" s="1">
        <f t="shared" si="7"/>
        <v>29</v>
      </c>
      <c r="G41" s="1">
        <f>F41+1</f>
        <v>30</v>
      </c>
    </row>
    <row r="42" spans="1:7" x14ac:dyDescent="0.4">
      <c r="A42" s="1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I21" sqref="I21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85" t="s">
        <v>70</v>
      </c>
      <c r="B5" s="86" t="s">
        <v>69</v>
      </c>
      <c r="C5" s="86" t="s">
        <v>56</v>
      </c>
      <c r="D5" s="87" t="s">
        <v>69</v>
      </c>
    </row>
    <row r="6" spans="1:4" x14ac:dyDescent="0.4">
      <c r="A6" s="84" t="s">
        <v>46</v>
      </c>
      <c r="B6" s="3" t="s">
        <v>93</v>
      </c>
      <c r="C6" s="88" t="s">
        <v>57</v>
      </c>
      <c r="D6" s="9"/>
    </row>
    <row r="7" spans="1:4" x14ac:dyDescent="0.4">
      <c r="A7" s="2" t="s">
        <v>47</v>
      </c>
      <c r="B7" s="29"/>
      <c r="C7" s="2" t="s">
        <v>58</v>
      </c>
      <c r="D7" s="3" t="s">
        <v>79</v>
      </c>
    </row>
    <row r="8" spans="1:4" x14ac:dyDescent="0.4">
      <c r="A8" s="2" t="s">
        <v>48</v>
      </c>
      <c r="B8" s="29"/>
      <c r="C8" s="2" t="s">
        <v>76</v>
      </c>
      <c r="D8" s="3" t="s">
        <v>79</v>
      </c>
    </row>
    <row r="9" spans="1:4" x14ac:dyDescent="0.4">
      <c r="A9" s="2" t="s">
        <v>49</v>
      </c>
      <c r="B9" s="29"/>
      <c r="C9" s="2" t="s">
        <v>87</v>
      </c>
      <c r="D9" s="3" t="s">
        <v>79</v>
      </c>
    </row>
    <row r="10" spans="1:4" ht="37.5" x14ac:dyDescent="0.4">
      <c r="A10" s="82" t="s">
        <v>68</v>
      </c>
      <c r="B10" s="3" t="s">
        <v>93</v>
      </c>
      <c r="C10" s="2" t="s">
        <v>59</v>
      </c>
      <c r="D10" s="3" t="s">
        <v>79</v>
      </c>
    </row>
    <row r="11" spans="1:4" x14ac:dyDescent="0.4">
      <c r="A11" s="2" t="s">
        <v>50</v>
      </c>
      <c r="B11" s="29"/>
      <c r="C11" s="2" t="s">
        <v>60</v>
      </c>
      <c r="D11" s="3" t="s">
        <v>79</v>
      </c>
    </row>
    <row r="12" spans="1:4" x14ac:dyDescent="0.4">
      <c r="A12" s="2" t="s">
        <v>51</v>
      </c>
      <c r="B12" s="29"/>
      <c r="C12" s="2" t="s">
        <v>61</v>
      </c>
      <c r="D12" s="3" t="s">
        <v>79</v>
      </c>
    </row>
    <row r="13" spans="1:4" x14ac:dyDescent="0.4">
      <c r="A13" s="2" t="s">
        <v>52</v>
      </c>
      <c r="B13" s="29"/>
      <c r="C13" s="10" t="s">
        <v>90</v>
      </c>
      <c r="D13" s="3" t="s">
        <v>79</v>
      </c>
    </row>
    <row r="14" spans="1:4" x14ac:dyDescent="0.4">
      <c r="A14" s="2" t="s">
        <v>53</v>
      </c>
      <c r="B14" s="29"/>
      <c r="C14" s="10" t="s">
        <v>74</v>
      </c>
      <c r="D14" s="3" t="s">
        <v>79</v>
      </c>
    </row>
    <row r="15" spans="1:4" ht="19.5" thickBot="1" x14ac:dyDescent="0.45">
      <c r="A15" s="2" t="s">
        <v>54</v>
      </c>
      <c r="B15" s="29"/>
      <c r="C15" s="83" t="s">
        <v>62</v>
      </c>
      <c r="D15" s="3" t="s">
        <v>79</v>
      </c>
    </row>
    <row r="16" spans="1:4" x14ac:dyDescent="0.4">
      <c r="A16" s="2" t="s">
        <v>55</v>
      </c>
      <c r="B16" s="29"/>
      <c r="C16" s="88" t="s">
        <v>66</v>
      </c>
      <c r="D16" s="9"/>
    </row>
    <row r="17" spans="1:4" x14ac:dyDescent="0.4">
      <c r="A17" s="2" t="s">
        <v>91</v>
      </c>
      <c r="B17" s="29"/>
      <c r="C17" s="2" t="s">
        <v>63</v>
      </c>
      <c r="D17" s="3" t="s">
        <v>79</v>
      </c>
    </row>
    <row r="18" spans="1:4" x14ac:dyDescent="0.4">
      <c r="A18" s="2" t="s">
        <v>92</v>
      </c>
      <c r="B18" s="29"/>
      <c r="C18" s="2" t="s">
        <v>64</v>
      </c>
      <c r="D18" s="3" t="s">
        <v>79</v>
      </c>
    </row>
    <row r="19" spans="1:4" x14ac:dyDescent="0.4">
      <c r="A19" s="2"/>
      <c r="B19" s="29"/>
      <c r="C19" s="2" t="s">
        <v>65</v>
      </c>
      <c r="D19" s="3" t="s">
        <v>79</v>
      </c>
    </row>
    <row r="20" spans="1:4" ht="19.5" thickBot="1" x14ac:dyDescent="0.45">
      <c r="A20" s="83"/>
      <c r="B20" s="30"/>
      <c r="C20" s="10" t="s">
        <v>67</v>
      </c>
      <c r="D20" s="3" t="s">
        <v>79</v>
      </c>
    </row>
    <row r="21" spans="1:4" x14ac:dyDescent="0.4">
      <c r="C21" s="88" t="s">
        <v>71</v>
      </c>
      <c r="D21" s="9"/>
    </row>
    <row r="22" spans="1:4" ht="19.5" thickBot="1" x14ac:dyDescent="0.45">
      <c r="C22" s="92" t="s">
        <v>82</v>
      </c>
      <c r="D22" s="5" t="s">
        <v>73</v>
      </c>
    </row>
    <row r="23" spans="1:4" ht="19.5" thickBot="1" x14ac:dyDescent="0.45">
      <c r="C23" s="92" t="s">
        <v>83</v>
      </c>
      <c r="D23" s="5" t="s">
        <v>73</v>
      </c>
    </row>
    <row r="24" spans="1:4" ht="19.5" thickBot="1" x14ac:dyDescent="0.45">
      <c r="C24" s="92" t="s">
        <v>85</v>
      </c>
      <c r="D24" s="5" t="s">
        <v>73</v>
      </c>
    </row>
    <row r="25" spans="1:4" ht="19.5" thickBot="1" x14ac:dyDescent="0.45">
      <c r="C25" s="92" t="s">
        <v>86</v>
      </c>
      <c r="D25" s="5" t="s">
        <v>73</v>
      </c>
    </row>
    <row r="26" spans="1:4" ht="19.5" thickBot="1" x14ac:dyDescent="0.45">
      <c r="C26" s="92" t="s">
        <v>89</v>
      </c>
      <c r="D26" s="5"/>
    </row>
    <row r="27" spans="1:4" ht="19.5" thickBot="1" x14ac:dyDescent="0.45">
      <c r="C27" s="92" t="s">
        <v>94</v>
      </c>
      <c r="D27" s="5"/>
    </row>
    <row r="28" spans="1:4" ht="19.5" thickBot="1" x14ac:dyDescent="0.45">
      <c r="C28" s="92" t="s">
        <v>88</v>
      </c>
      <c r="D28" s="5"/>
    </row>
    <row r="29" spans="1:4" ht="19.5" thickBot="1" x14ac:dyDescent="0.45">
      <c r="C29" s="92" t="s">
        <v>84</v>
      </c>
      <c r="D29" s="5" t="s">
        <v>73</v>
      </c>
    </row>
    <row r="30" spans="1:4" ht="19.5" thickBot="1" x14ac:dyDescent="0.45">
      <c r="C30" s="83" t="s">
        <v>72</v>
      </c>
      <c r="D30" s="5" t="s">
        <v>73</v>
      </c>
    </row>
    <row r="31" spans="1:4" ht="19.5" thickBot="1" x14ac:dyDescent="0.45">
      <c r="C31" s="89" t="s">
        <v>75</v>
      </c>
      <c r="D31" s="5" t="s">
        <v>73</v>
      </c>
    </row>
    <row r="32" spans="1:4" ht="19.5" thickBot="1" x14ac:dyDescent="0.45">
      <c r="C32" s="90" t="s">
        <v>76</v>
      </c>
      <c r="D32" s="5" t="s">
        <v>73</v>
      </c>
    </row>
    <row r="33" spans="3:4" ht="19.5" thickBot="1" x14ac:dyDescent="0.45">
      <c r="C33" s="90" t="s">
        <v>77</v>
      </c>
      <c r="D33" s="5" t="s">
        <v>73</v>
      </c>
    </row>
    <row r="34" spans="3:4" ht="19.5" thickBot="1" x14ac:dyDescent="0.45">
      <c r="C34" s="90" t="s">
        <v>78</v>
      </c>
      <c r="D34" s="5" t="s">
        <v>73</v>
      </c>
    </row>
    <row r="35" spans="3:4" x14ac:dyDescent="0.4">
      <c r="C35" s="91" t="s">
        <v>80</v>
      </c>
    </row>
    <row r="36" spans="3:4" ht="19.5" thickBot="1" x14ac:dyDescent="0.45">
      <c r="C36" s="90" t="s">
        <v>76</v>
      </c>
      <c r="D36" s="5" t="s">
        <v>73</v>
      </c>
    </row>
    <row r="37" spans="3:4" ht="19.5" thickBot="1" x14ac:dyDescent="0.45">
      <c r="C37" s="90" t="s">
        <v>81</v>
      </c>
      <c r="D37" s="5" t="s">
        <v>73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2026-09-16T14:42:38Z</dcterms:modified>
  <cp:category/>
  <cp:contentStatus/>
</cp:coreProperties>
</file>